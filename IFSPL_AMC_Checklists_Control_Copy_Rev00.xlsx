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Legacy Tab Mapping" sheetId="2" state="visible" r:id="rId4"/>
    <sheet name="CL-01 Hydrant &amp; FB Inlet" sheetId="3" state="visible" r:id="rId5"/>
    <sheet name="CL-02 Foam-Water Monitors" sheetId="4" state="visible" r:id="rId6"/>
    <sheet name="CL-03 Hose Boxes" sheetId="5" state="visible" r:id="rId7"/>
    <sheet name="CL-04 Foam Pourer-Maker" sheetId="6" state="visible" r:id="rId8"/>
    <sheet name="CL-05 Spray &amp; Drencher" sheetId="7" state="visible" r:id="rId9"/>
    <sheet name="CL-06 Foam Trolleys" sheetId="8" state="visible" r:id="rId10"/>
    <sheet name="CL-07 Trolley DCP 150Kg" sheetId="9" state="visible" r:id="rId11"/>
    <sheet name="CL-08 Deluge Valves" sheetId="10" state="visible" r:id="rId12"/>
    <sheet name="CL-09 Hose Reels" sheetId="11" state="visible" r:id="rId13"/>
    <sheet name="CL-10 Fire Vehicle Systems" sheetId="12" state="visible" r:id="rId14"/>
    <sheet name="CL-11 Extinguisher HPT" sheetId="13" state="visible" r:id="rId15"/>
    <sheet name="CL-12 MX Foam Generators" sheetId="14" state="visible" r:id="rId16"/>
    <sheet name="CL-13 Clean Agent-CO2" sheetId="15" state="visible" r:id="rId17"/>
    <sheet name="CL-14 Tender DCP Systems" sheetId="16" state="visible" r:id="rId18"/>
    <sheet name="CL-15 Isolation Valves" sheetId="17" state="visible" r:id="rId19"/>
    <sheet name="CL-16 FW Tank Cleaning" sheetId="18" state="visible" r:id="rId20"/>
    <sheet name="CL-17 Buckets &amp; Stands" sheetId="19" state="visible" r:id="rId21"/>
    <sheet name="CL-18 Detection &amp; Alarm" sheetId="20" state="visible" r:id="rId22"/>
    <sheet name="CL-19 Inline Inductors" sheetId="21" state="visible" r:id="rId23"/>
    <sheet name="CL-20 Vehicle Tank Cleaning" sheetId="22" state="visible" r:id="rId24"/>
    <sheet name="CL-21 OH Foam Tank Cleaning" sheetId="23" state="visible" r:id="rId25"/>
    <sheet name="CL-22 CA Foam-Mist Ext" sheetId="24" state="visible" r:id="rId26"/>
    <sheet name="CL-23 Air Compressors" sheetId="25" state="visible" r:id="rId27"/>
    <sheet name="CL-24 Weighing M-c Calib" sheetId="26" state="visible" r:id="rId28"/>
    <sheet name="CL-25 Digital Level Calib" sheetId="27" state="visible" r:id="rId29"/>
    <sheet name="CL-26 Ext Hanging-Mounting" sheetId="28" state="visible" r:id="rId30"/>
    <sheet name="Example (CL-01)" sheetId="29" state="visible" r:id="rId31"/>
  </sheets>
  <definedNames>
    <definedName function="false" hidden="false" localSheetId="2" name="_xlnm.Print_Titles" vbProcedure="false">'CL-01 Hydrant &amp; FB Inlet'!$11:$13</definedName>
    <definedName function="false" hidden="false" localSheetId="3" name="_xlnm.Print_Titles" vbProcedure="false">'CL-02 Foam-Water Monitors'!$11:$13</definedName>
    <definedName function="false" hidden="false" localSheetId="4" name="_xlnm.Print_Titles" vbProcedure="false">'CL-03 Hose Boxes'!$11:$13</definedName>
    <definedName function="false" hidden="false" localSheetId="5" name="_xlnm.Print_Titles" vbProcedure="false">'CL-04 Foam Pourer-Maker'!$11:$13</definedName>
    <definedName function="false" hidden="false" localSheetId="6" name="_xlnm.Print_Titles" vbProcedure="false">'CL-05 Spray &amp; Drencher'!$11:$13</definedName>
    <definedName function="false" hidden="false" localSheetId="7" name="_xlnm.Print_Titles" vbProcedure="false">'CL-06 Foam Trolleys'!$11:$13</definedName>
    <definedName function="false" hidden="false" localSheetId="8" name="_xlnm.Print_Titles" vbProcedure="false">'CL-07 Trolley DCP 150Kg'!$11:$13</definedName>
    <definedName function="false" hidden="false" localSheetId="9" name="_xlnm.Print_Titles" vbProcedure="false">'CL-08 Deluge Valves'!$11:$13</definedName>
    <definedName function="false" hidden="false" localSheetId="10" name="_xlnm.Print_Titles" vbProcedure="false">'CL-09 Hose Reels'!$11:$13</definedName>
    <definedName function="false" hidden="false" localSheetId="11" name="_xlnm.Print_Titles" vbProcedure="false">'CL-10 Fire Vehicle Systems'!$11:$13</definedName>
    <definedName function="false" hidden="false" localSheetId="12" name="_xlnm.Print_Titles" vbProcedure="false">'CL-11 Extinguisher HPT'!$11:$13</definedName>
    <definedName function="false" hidden="false" localSheetId="13" name="_xlnm.Print_Titles" vbProcedure="false">'CL-12 MX Foam Generators'!$11:$13</definedName>
    <definedName function="false" hidden="false" localSheetId="14" name="_xlnm.Print_Titles" vbProcedure="false">'CL-13 Clean Agent-CO2'!$11:$13</definedName>
    <definedName function="false" hidden="false" localSheetId="15" name="_xlnm.Print_Titles" vbProcedure="false">'CL-14 Tender DCP Systems'!$11:$13</definedName>
    <definedName function="false" hidden="false" localSheetId="16" name="_xlnm.Print_Titles" vbProcedure="false">'CL-15 Isolation Valves'!$11:$13</definedName>
    <definedName function="false" hidden="false" localSheetId="17" name="_xlnm.Print_Titles" vbProcedure="false">'CL-16 FW Tank Cleaning'!$11:$13</definedName>
    <definedName function="false" hidden="false" localSheetId="18" name="_xlnm.Print_Titles" vbProcedure="false">'CL-17 Buckets &amp; Stands'!$11:$13</definedName>
    <definedName function="false" hidden="false" localSheetId="19" name="_xlnm.Print_Titles" vbProcedure="false">'CL-18 Detection &amp; Alarm'!$11:$13</definedName>
    <definedName function="false" hidden="false" localSheetId="20" name="_xlnm.Print_Titles" vbProcedure="false">'CL-19 Inline Inductors'!$11:$13</definedName>
    <definedName function="false" hidden="false" localSheetId="21" name="_xlnm.Print_Titles" vbProcedure="false">'CL-20 Vehicle Tank Cleaning'!$11:$13</definedName>
    <definedName function="false" hidden="false" localSheetId="22" name="_xlnm.Print_Titles" vbProcedure="false">'CL-21 OH Foam Tank Cleaning'!$11:$13</definedName>
    <definedName function="false" hidden="false" localSheetId="23" name="_xlnm.Print_Titles" vbProcedure="false">'CL-22 CA Foam-Mist Ext'!$11:$13</definedName>
    <definedName function="false" hidden="false" localSheetId="24" name="_xlnm.Print_Titles" vbProcedure="false">'CL-23 Air Compressors'!$11:$13</definedName>
    <definedName function="false" hidden="false" localSheetId="25" name="_xlnm.Print_Titles" vbProcedure="false">'CL-24 Weighing M-c Calib'!$11:$13</definedName>
    <definedName function="false" hidden="false" localSheetId="26" name="_xlnm.Print_Titles" vbProcedure="false">'CL-25 Digital Level Calib'!$11:$13</definedName>
    <definedName function="false" hidden="false" localSheetId="27" name="_xlnm.Print_Titles" vbProcedure="false">'CL-26 Ext Hanging-Mounting'!$11:$13</definedName>
    <definedName function="false" hidden="false" localSheetId="28" name="_xlnm.Print_Titles" vbProcedure="false">'Example (CL-01)'!$11:$13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<sst xmlns="http://schemas.openxmlformats.org/spreadsheetml/2006/main" count="2240" uniqueCount="651">
  <si>
    <t xml:space="preserve">INDUS FIRE SAFETY PRIVATE LIMITED</t>
  </si>
  <si>
    <t xml:space="preserve">Corporate Office: 903, Atlantis Heights, Sarabhai Compound, Vadodara-390 023, India.  Tele: 0265 2343441, 2343442, 2341633  |  Email: maint.ifss@yahoo.com  |  Web: www.indusfiresafety.com</t>
  </si>
  <si>
    <t xml:space="preserve">AMC REPORT CHECKLISTS – CONTROL COPY  (Derived from SOP-01 to SOP-26)</t>
  </si>
  <si>
    <t xml:space="preserve">Document</t>
  </si>
  <si>
    <t xml:space="preserve">Checklist set CL-01 to CL-26 (IFSPL/M&amp;M/CL/001–026)</t>
  </si>
  <si>
    <t xml:space="preserve">Revision</t>
  </si>
  <si>
    <t xml:space="preserve">00</t>
  </si>
  <si>
    <t xml:space="preserve">Effective Date</t>
  </si>
  <si>
    <t xml:space="preserve">01-10-2026 (aligned to SOP effective date)</t>
  </si>
  <si>
    <t xml:space="preserve">Prepared by</t>
  </si>
  <si>
    <t xml:space="preserve">Santosh Singh – Sr. Manager – Technical</t>
  </si>
  <si>
    <t xml:space="preserve">Reviewed by</t>
  </si>
  <si>
    <t xml:space="preserve">Prahlad Singh – VP – Technical</t>
  </si>
  <si>
    <t xml:space="preserve">Approved by</t>
  </si>
  <si>
    <t xml:space="preserve">Balagopal V – CEO</t>
  </si>
  <si>
    <t xml:space="preserve">Signatures: Prepared ____________    Reviewed ____________    Approved ____________</t>
  </si>
  <si>
    <t xml:space="preserve">CL No.</t>
  </si>
  <si>
    <t xml:space="preserve">Checklist Doc. No.</t>
  </si>
  <si>
    <t xml:space="preserve">Reference SOP Doc. No.</t>
  </si>
  <si>
    <t xml:space="preserve">Equipment / Activity (SOP title)</t>
  </si>
  <si>
    <t xml:space="preserve">No. of items</t>
  </si>
  <si>
    <t xml:space="preserve">Go to sheet</t>
  </si>
  <si>
    <t xml:space="preserve">Legacy workbook tab(s) covered</t>
  </si>
  <si>
    <t xml:space="preserve">CL-01</t>
  </si>
  <si>
    <t xml:space="preserve">IFSPL/M&amp;M/CL/001</t>
  </si>
  <si>
    <t xml:space="preserve">IFSPL/M&amp;M/SOP/001</t>
  </si>
  <si>
    <t xml:space="preserve">Fire Hydrants &amp; Fire Brigade Inlet Maintenance</t>
  </si>
  <si>
    <t xml:space="preserve">Hyd-HB CL-01 (landing valve part); FEH</t>
  </si>
  <si>
    <t xml:space="preserve">CL-02</t>
  </si>
  <si>
    <t xml:space="preserve">IFSPL/M&amp;M/CL/002</t>
  </si>
  <si>
    <t xml:space="preserve">IFSPL/M&amp;M/SOP/002</t>
  </si>
  <si>
    <t xml:space="preserve">Fixed &amp; Portable Fire Water / Foam Monitors Maintenance</t>
  </si>
  <si>
    <t xml:space="preserve">F-Monitor CL-02; W-Monitor</t>
  </si>
  <si>
    <t xml:space="preserve">CL-03</t>
  </si>
  <si>
    <t xml:space="preserve">IFSPL/M&amp;M/CL/003</t>
  </si>
  <si>
    <t xml:space="preserve">IFSPL/M&amp;M/SOP/003</t>
  </si>
  <si>
    <t xml:space="preserve">Delivery Hose Boxes Maintenance</t>
  </si>
  <si>
    <t xml:space="preserve">Hyd-HB CL-01 (hose box part)</t>
  </si>
  <si>
    <t xml:space="preserve">CL-04</t>
  </si>
  <si>
    <t xml:space="preserve">IFSPL/M&amp;M/CL/004</t>
  </si>
  <si>
    <t xml:space="preserve">IFSPL/M&amp;M/SOP/004</t>
  </si>
  <si>
    <t xml:space="preserve">Foam Pourer / Foam Maker Systems Maintenance</t>
  </si>
  <si>
    <t xml:space="preserve">— (no equivalent tab in legacy workbook)</t>
  </si>
  <si>
    <t xml:space="preserve">CL-05</t>
  </si>
  <si>
    <t xml:space="preserve">IFSPL/M&amp;M/CL/005</t>
  </si>
  <si>
    <t xml:space="preserve">IFSPL/M&amp;M/SOP/005</t>
  </si>
  <si>
    <t xml:space="preserve">Water Spray &amp; Drencher Systems Maintenance</t>
  </si>
  <si>
    <t xml:space="preserve">Sprinkler-WC; Sprinkler System (hidden)</t>
  </si>
  <si>
    <t xml:space="preserve">CL-06</t>
  </si>
  <si>
    <t xml:space="preserve">IFSPL/M&amp;M/CL/006</t>
  </si>
  <si>
    <t xml:space="preserve">IFSPL/M&amp;M/SOP/006</t>
  </si>
  <si>
    <t xml:space="preserve">Foam Trolley Maintenance</t>
  </si>
  <si>
    <t xml:space="preserve">F Trolly</t>
  </si>
  <si>
    <t xml:space="preserve">CL-07</t>
  </si>
  <si>
    <t xml:space="preserve">IFSPL/M&amp;M/CL/007</t>
  </si>
  <si>
    <t xml:space="preserve">IFSPL/M&amp;M/SOP/007</t>
  </si>
  <si>
    <t xml:space="preserve">Mobile Trolley Mounted DCP Systems Maintenance (150 Kg)</t>
  </si>
  <si>
    <t xml:space="preserve">CL-08</t>
  </si>
  <si>
    <t xml:space="preserve">IFSPL/M&amp;M/CL/008</t>
  </si>
  <si>
    <t xml:space="preserve">IFSPL/M&amp;M/SOP/008</t>
  </si>
  <si>
    <t xml:space="preserve">Fire Water Deluge Valves Maintenance</t>
  </si>
  <si>
    <t xml:space="preserve">CL-09</t>
  </si>
  <si>
    <t xml:space="preserve">IFSPL/M&amp;M/CL/009</t>
  </si>
  <si>
    <t xml:space="preserve">IFSPL/M&amp;M/SOP/009</t>
  </si>
  <si>
    <t xml:space="preserve">First Aid Fire Hose Reels Maintenance</t>
  </si>
  <si>
    <t xml:space="preserve">Hose Reel</t>
  </si>
  <si>
    <t xml:space="preserve">CL-10</t>
  </si>
  <si>
    <t xml:space="preserve">IFSPL/M&amp;M/CL/010</t>
  </si>
  <si>
    <t xml:space="preserve">IFSPL/M&amp;M/SOP/010</t>
  </si>
  <si>
    <t xml:space="preserve">Fire Vehicles – Associated Water / Foam Systems Maintenance</t>
  </si>
  <si>
    <t xml:space="preserve">CL-11</t>
  </si>
  <si>
    <t xml:space="preserve">IFSPL/M&amp;M/CL/011</t>
  </si>
  <si>
    <t xml:space="preserve">IFSPL/M&amp;M/SOP/011</t>
  </si>
  <si>
    <t xml:space="preserve">Hydro Testing &amp; Pressurisation of Fire Extinguishers</t>
  </si>
  <si>
    <t xml:space="preserve">(Extinguisher tabs – hydro-test only, see mapping)</t>
  </si>
  <si>
    <t xml:space="preserve">CL-12</t>
  </si>
  <si>
    <t xml:space="preserve">IFSPL/M&amp;M/CL/012</t>
  </si>
  <si>
    <t xml:space="preserve">IFSPL/M&amp;M/SOP/012</t>
  </si>
  <si>
    <t xml:space="preserve">Mechanical Medium Expansion Foam Generators Maintenance</t>
  </si>
  <si>
    <t xml:space="preserve">CL-13</t>
  </si>
  <si>
    <t xml:space="preserve">IFSPL/M&amp;M/CL/013</t>
  </si>
  <si>
    <t xml:space="preserve">IFSPL/M&amp;M/SOP/013</t>
  </si>
  <si>
    <t xml:space="preserve">Clean Agent / CO2 Fire Suppression Systems Maintenance</t>
  </si>
  <si>
    <t xml:space="preserve">CL-14</t>
  </si>
  <si>
    <t xml:space="preserve">IFSPL/M&amp;M/CL/014</t>
  </si>
  <si>
    <t xml:space="preserve">IFSPL/M&amp;M/SOP/014</t>
  </si>
  <si>
    <t xml:space="preserve">DCP Systems of Fire Tenders Maintenance</t>
  </si>
  <si>
    <t xml:space="preserve">CL-15</t>
  </si>
  <si>
    <t xml:space="preserve">IFSPL/M&amp;M/CL/015</t>
  </si>
  <si>
    <t xml:space="preserve">IFSPL/M&amp;M/SOP/015</t>
  </si>
  <si>
    <t xml:space="preserve">Isolation Valves of Fire Water Network Maintenance</t>
  </si>
  <si>
    <t xml:space="preserve">CL-16</t>
  </si>
  <si>
    <t xml:space="preserve">IFSPL/M&amp;M/CL/016</t>
  </si>
  <si>
    <t xml:space="preserve">IFSPL/M&amp;M/SOP/016</t>
  </si>
  <si>
    <t xml:space="preserve">Cleaning of Fire Water Tanks at Fire Stations</t>
  </si>
  <si>
    <t xml:space="preserve">CL-17</t>
  </si>
  <si>
    <t xml:space="preserve">IFSPL/M&amp;M/CL/017</t>
  </si>
  <si>
    <t xml:space="preserve">IFSPL/M&amp;M/SOP/017</t>
  </si>
  <si>
    <t xml:space="preserve">Fire Buckets &amp; Bucket Stands Maintenance</t>
  </si>
  <si>
    <t xml:space="preserve">CL-18</t>
  </si>
  <si>
    <t xml:space="preserve">IFSPL/M&amp;M/CL/018</t>
  </si>
  <si>
    <t xml:space="preserve">IFSPL/M&amp;M/SOP/018</t>
  </si>
  <si>
    <t xml:space="preserve">Fire Detection &amp; Alarm Systems Maintenance</t>
  </si>
  <si>
    <t xml:space="preserve">CL-19</t>
  </si>
  <si>
    <t xml:space="preserve">IFSPL/M&amp;M/CL/019</t>
  </si>
  <si>
    <t xml:space="preserve">IFSPL/M&amp;M/SOP/019</t>
  </si>
  <si>
    <t xml:space="preserve">Inline Foam Inductors Maintenance</t>
  </si>
  <si>
    <t xml:space="preserve">CL-20</t>
  </si>
  <si>
    <t xml:space="preserve">IFSPL/M&amp;M/CL/020</t>
  </si>
  <si>
    <t xml:space="preserve">IFSPL/M&amp;M/SOP/020</t>
  </si>
  <si>
    <t xml:space="preserve">Cleaning of Foam &amp; Water Tanks of Fire Vehicles</t>
  </si>
  <si>
    <t xml:space="preserve">CL-21</t>
  </si>
  <si>
    <t xml:space="preserve">IFSPL/M&amp;M/CL/021</t>
  </si>
  <si>
    <t xml:space="preserve">IFSPL/M&amp;M/SOP/021</t>
  </si>
  <si>
    <t xml:space="preserve">Cleaning of Overhead Foam Storage Tanks</t>
  </si>
  <si>
    <t xml:space="preserve">CL-22</t>
  </si>
  <si>
    <t xml:space="preserve">IFSPL/M&amp;M/CL/022</t>
  </si>
  <si>
    <t xml:space="preserve">IFSPL/M&amp;M/SOP/022</t>
  </si>
  <si>
    <t xml:space="preserve">Servicing &amp; Hydro Testing of CA Foam / Water Mist Extinguishers</t>
  </si>
  <si>
    <t xml:space="preserve">CL-23</t>
  </si>
  <si>
    <t xml:space="preserve">IFSPL/M&amp;M/CL/023</t>
  </si>
  <si>
    <t xml:space="preserve">IFSPL/M&amp;M/SOP/023</t>
  </si>
  <si>
    <t xml:space="preserve">Servicing &amp; Hydro Testing of Air Compressors (Tyre Air Filling)</t>
  </si>
  <si>
    <t xml:space="preserve">CL-24</t>
  </si>
  <si>
    <t xml:space="preserve">IFSPL/M&amp;M/CL/024</t>
  </si>
  <si>
    <t xml:space="preserve">IFSPL/M&amp;M/SOP/024</t>
  </si>
  <si>
    <t xml:space="preserve">Calibration of Weighing Machines</t>
  </si>
  <si>
    <t xml:space="preserve">CL-25</t>
  </si>
  <si>
    <t xml:space="preserve">IFSPL/M&amp;M/CL/025</t>
  </si>
  <si>
    <t xml:space="preserve">IFSPL/M&amp;M/SOP/025</t>
  </si>
  <si>
    <t xml:space="preserve">Servicing &amp; Calibration of Digital Level Indicators (Overhead Foam Tank)</t>
  </si>
  <si>
    <t xml:space="preserve">CL-26</t>
  </si>
  <si>
    <t xml:space="preserve">IFSPL/M&amp;M/CL/026</t>
  </si>
  <si>
    <t xml:space="preserve">IFSPL/M&amp;M/SOP/026</t>
  </si>
  <si>
    <t xml:space="preserve">Hanging &amp; Mounting of Portable Fire Extinguishers</t>
  </si>
  <si>
    <t xml:space="preserve">(Extinguisher tabs – mounting only, see mapping)</t>
  </si>
  <si>
    <t xml:space="preserve">HOW TO USE THIS CONTROL COPY</t>
  </si>
  <si>
    <t xml:space="preserve">1.  One tab per SOP. Tab CL-nn is built from Section 6 (Check List Format) of SOP-nn; the Item numbers 1…N on every tab are identical to the S.No. used in that SOP. Do not renumber, insert or delete item columns.</t>
  </si>
  <si>
    <t xml:space="preserve">2.  Fill only the shaded (cream) header fields and the white table cells. One row = one equipment / unit (tag or ID). Use the drop-down: √ = OK / Pass,  X = NOT OK / Fail,  NA = Not Applicable / Not Available. Every X must be explained in Remarks.</t>
  </si>
  <si>
    <t xml:space="preserve">3.  The Frequency / Requirement line under each item is copied from the SOP. Applicable standards and test baselines are printed from SOP Section 3 beneath each table.</t>
  </si>
  <si>
    <t xml:space="preserve">4.  Totals (√ / X / NA per item) calculate automatically. Sign-off follows SOP Section 6: Checked by (Service Engineer), Verified by (Supervisor / Technical), Witnessed by (Client I/C Fire Services).</t>
  </si>
  <si>
    <t xml:space="preserve">5.  Make a copy of the required tab(s) per client / site / month; keep this master unaltered. Changes to items require a revision of the corresponding SOP first (item numbers must always match the SOP).</t>
  </si>
  <si>
    <t xml:space="preserve">6.  Tab 'Example (CL-01)' shows a filled sheet with sample data (blue font) for illustration only. Tab 'Legacy Tab Mapping' maps the September-2020 SRF workbook tabs to this set and lists gaps.</t>
  </si>
  <si>
    <t xml:space="preserve">MAPPING OF LEGACY WORKBOOK TABS (SRF AMC Report – September 2020) TO THE NEW CONTROL COPY</t>
  </si>
  <si>
    <t xml:space="preserve">Proposed mapping prepared from tab content – please confirm. 'No SOP' means none of SOP-01 to SOP-26 covers the equipment; no checklist has been created for it.</t>
  </si>
  <si>
    <t xml:space="preserve">Legacy tab</t>
  </si>
  <si>
    <t xml:space="preserve">State</t>
  </si>
  <si>
    <t xml:space="preserve">New checklist</t>
  </si>
  <si>
    <t xml:space="preserve">Comment</t>
  </si>
  <si>
    <t xml:space="preserve">Hyd-HB CL-01</t>
  </si>
  <si>
    <t xml:space="preserve">Visible</t>
  </si>
  <si>
    <t xml:space="preserve">CL-01 + CL-03</t>
  </si>
  <si>
    <t xml:space="preserve">Landing-valve columns → SOP-01; hose-box columns → SOP-03. Legacy 'CL-01' number is superseded by the SOP-based number.</t>
  </si>
  <si>
    <t xml:space="preserve">FEH</t>
  </si>
  <si>
    <t xml:space="preserve">CL-01 (+ CL-03)</t>
  </si>
  <si>
    <t xml:space="preserve">Hydrant riser (FEH) – same SOP-01 items; hose-box items from SOP-03 where a box is fitted.</t>
  </si>
  <si>
    <t xml:space="preserve">F-Monitor CL-02</t>
  </si>
  <si>
    <t xml:space="preserve">Foam monitors – SOP-02.</t>
  </si>
  <si>
    <t xml:space="preserve">W-Monitor</t>
  </si>
  <si>
    <t xml:space="preserve">Water monitors – SOP-02 (covers fixed / portable foam &amp; water monitors).</t>
  </si>
  <si>
    <t xml:space="preserve">Air Line CL -03</t>
  </si>
  <si>
    <t xml:space="preserve">No SOP</t>
  </si>
  <si>
    <t xml:space="preserve">Air-line respiratory system – not covered by SOP-01…26. NOTE: legacy 'CL-03' clashes with new CL-03 (Hose Boxes).</t>
  </si>
  <si>
    <t xml:space="preserve">SCBA Set</t>
  </si>
  <si>
    <t xml:space="preserve">Breathing-apparatus inspection – no SOP.</t>
  </si>
  <si>
    <t xml:space="preserve">Sprinkler-WC</t>
  </si>
  <si>
    <t xml:space="preserve">Water-curtain sprinklers – SOP-05 (Water Spray &amp; Drencher).</t>
  </si>
  <si>
    <t xml:space="preserve">Sprinkler System</t>
  </si>
  <si>
    <t xml:space="preserve">Hidden</t>
  </si>
  <si>
    <t xml:space="preserve">Sprinkler / curtain system – SOP-05.</t>
  </si>
  <si>
    <t xml:space="preserve">First-aid hose reels – SOP-09.</t>
  </si>
  <si>
    <t xml:space="preserve">Foam trolleys – SOP-06.</t>
  </si>
  <si>
    <t xml:space="preserve">ABC Fire Ext CL-18</t>
  </si>
  <si>
    <t xml:space="preserve">CL-11 / CL-26 (partial)</t>
  </si>
  <si>
    <t xml:space="preserve">Monthly visual inspection of extinguishers is not an SOP activity. SOP-11 covers hydro-test &amp; pressurisation; SOP-26 covers hanging &amp; mounting. NOTE: legacy 'CL-18' clashes with new CL-18 (Detection &amp; Alarm).</t>
  </si>
  <si>
    <t xml:space="preserve">DCP Fire Ext CL-19</t>
  </si>
  <si>
    <t xml:space="preserve">As above. NOTE: legacy 'CL-19' clashes with new CL-19 (Inline Foam Inductors).</t>
  </si>
  <si>
    <t xml:space="preserve">Co2 Fire Ext</t>
  </si>
  <si>
    <t xml:space="preserve">As above (portable CO2 extinguishers). Fixed CO2 / clean-agent systems are CL-13.</t>
  </si>
  <si>
    <t xml:space="preserve">M-Foam Fire Ext</t>
  </si>
  <si>
    <t xml:space="preserve">CL-11 / CL-22 / CL-26 (partial)</t>
  </si>
  <si>
    <t xml:space="preserve">Mechanical-foam / CA foam extinguishers: hydro-test per SOP-11 / SOP-22; mounting per SOP-26.</t>
  </si>
  <si>
    <t xml:space="preserve">K -Fire Ext</t>
  </si>
  <si>
    <t xml:space="preserve">As above.</t>
  </si>
  <si>
    <t xml:space="preserve">Wind Socks</t>
  </si>
  <si>
    <t xml:space="preserve">Not covered by any SOP.</t>
  </si>
  <si>
    <t xml:space="preserve">Air Release valve</t>
  </si>
  <si>
    <t xml:space="preserve">Not covered (SOP-15 covers isolation valves of the fire-water network only).</t>
  </si>
  <si>
    <t xml:space="preserve">HPT of D Hose</t>
  </si>
  <si>
    <t xml:space="preserve">Hose hydraulic testing – not covered (SOP-03 covers hose boxes, not hose testing).</t>
  </si>
  <si>
    <t xml:space="preserve">Diphotehrine Anti HF Kit</t>
  </si>
  <si>
    <t xml:space="preserve">Safety Shower CL -1 to CL -4</t>
  </si>
  <si>
    <t xml:space="preserve">Weekly safety-shower / eye-wash checks – not covered by any SOP.</t>
  </si>
  <si>
    <t xml:space="preserve">Sheet1</t>
  </si>
  <si>
    <t xml:space="preserve">—</t>
  </si>
  <si>
    <t xml:space="preserve">Empty sheet – dropped.</t>
  </si>
  <si>
    <t xml:space="preserve">SOPs with no legacy tab (new checklists, no prior report format): CL-04, 07, 08, 10, 12, 13, 14, 15, 16, 17, 18, 19, 20, 21, 23, 24, 25 – built directly from SOP Section 6.</t>
  </si>
  <si>
    <t xml:space="preserve">Reference SOP No.</t>
  </si>
  <si>
    <t xml:space="preserve">Doc. Type / Classification</t>
  </si>
  <si>
    <t xml:space="preserve">01-10-2026</t>
  </si>
  <si>
    <t xml:space="preserve">Checklist – Control Copy / Internal</t>
  </si>
  <si>
    <t xml:space="preserve">CL-01  |  CHECK LIST – FIRE HYDRANTS &amp; FIRE BRIGADE INLET MAINTENANCE</t>
  </si>
  <si>
    <t xml:space="preserve">Client Name &amp; Address</t>
  </si>
  <si>
    <t xml:space="preserve">PO / Contract No.</t>
  </si>
  <si>
    <t xml:space="preserve">Job</t>
  </si>
  <si>
    <t xml:space="preserve">AMC – Testing, inspection &amp; maintenance of fire protection equipment</t>
  </si>
  <si>
    <t xml:space="preserve">Work Order / Ref. No.</t>
  </si>
  <si>
    <t xml:space="preserve">Date of Service</t>
  </si>
  <si>
    <t xml:space="preserve">Frequency</t>
  </si>
  <si>
    <t xml:space="preserve">Month / Period</t>
  </si>
  <si>
    <t xml:space="preserve">Note: Put '√' for OK / Pass, 'X' for NOT OK / Fail and 'NA' for Not Applicable / Not Available. Record every abnormality in the Remarks column. Item numbers (1–10) are identical to the numbering in Section 6 (Check List Format) of IFSPL/M&amp;M/SOP/001.</t>
  </si>
  <si>
    <t xml:space="preserve">SN</t>
  </si>
  <si>
    <t xml:space="preserve">Area / Plant</t>
  </si>
  <si>
    <t xml:space="preserve">ID No.</t>
  </si>
  <si>
    <t xml:space="preserve">Location</t>
  </si>
  <si>
    <t xml:space="preserve">Item 1</t>
  </si>
  <si>
    <t xml:space="preserve">Item 2</t>
  </si>
  <si>
    <t xml:space="preserve">Item 3</t>
  </si>
  <si>
    <t xml:space="preserve">Item 4</t>
  </si>
  <si>
    <t xml:space="preserve">Item 5</t>
  </si>
  <si>
    <t xml:space="preserve">Item 6</t>
  </si>
  <si>
    <t xml:space="preserve">Item 7</t>
  </si>
  <si>
    <t xml:space="preserve">Item 8</t>
  </si>
  <si>
    <t xml:space="preserve">Item 9</t>
  </si>
  <si>
    <t xml:space="preserve">Item 10</t>
  </si>
  <si>
    <t xml:space="preserve">Remarks</t>
  </si>
  <si>
    <t xml:space="preserve">Visual check of coupling washers and blank caps</t>
  </si>
  <si>
    <t xml:space="preserve">Lugs assembly, spring and check nut locking operation</t>
  </si>
  <si>
    <t xml:space="preserve">Spindle, spindle gasket and handwheel – smooth operation, no bend / damage</t>
  </si>
  <si>
    <t xml:space="preserve">Isolation valve – seat, gland, gasket condition and operation</t>
  </si>
  <si>
    <t xml:space="preserve">Water tightness (seat) test – 14 Kg/cm²</t>
  </si>
  <si>
    <t xml:space="preserve">Hydrostatic (body) test – 21 Kg/cm²</t>
  </si>
  <si>
    <t xml:space="preserve">Flow test – 900 LPM (Type A) / 1800 LPM (Type B) at 7 Kg/cm²</t>
  </si>
  <si>
    <t xml:space="preserve">Fire Brigade Inlet – NRV, seat washer, spring, gasket, drain valve</t>
  </si>
  <si>
    <t xml:space="preserve">Surface scraping, 2 coats primer and 2 coats Fire Red paint; isolation valve black</t>
  </si>
  <si>
    <t xml:space="preserve">Hydrant numbering, ON / OFF marking and servicing date label</t>
  </si>
  <si>
    <t xml:space="preserve">Each servicing</t>
  </si>
  <si>
    <t xml:space="preserve">As per instruction</t>
  </si>
  <si>
    <t xml:space="preserve">Each servicing / as required</t>
  </si>
  <si>
    <t xml:space="preserve">Equipment / units checked (nos.)</t>
  </si>
  <si>
    <t xml:space="preserve">Total √ (OK / Pass)</t>
  </si>
  <si>
    <t xml:space="preserve">Total X (NOT OK / Fail)</t>
  </si>
  <si>
    <t xml:space="preserve">Total NA</t>
  </si>
  <si>
    <t xml:space="preserve">Remarks / Observations (including corrective actions, spares replaced and pending points)</t>
  </si>
  <si>
    <t xml:space="preserve">Applicable standards &amp; performance baseline – IFSPL/M&amp;M/SOP/001, Section 3 (Technical Specifications &amp; Performance Baseline)</t>
  </si>
  <si>
    <t xml:space="preserve">•  Water Tightness Test (Seat Test): 14 Kg/cm² for both Type A and Type B.</t>
  </si>
  <si>
    <t xml:space="preserve">•  Hydrostatic Pressure Test (Body Test): 21 Kg/cm² for both Type A and Type B.</t>
  </si>
  <si>
    <t xml:space="preserve">•  Flow Test Benchmark: Type A requires 900 LPM at 7 Kg/cm²; Type B requires 1800 LPM at 7 Kg/cm².</t>
  </si>
  <si>
    <t xml:space="preserve">•  Applicable standards: IS 5290 (hydrant landing valve), IS 937 (washers / rubber components), IS 5 Shade 536 (Fire Red paint).</t>
  </si>
  <si>
    <t xml:space="preserve">Checked by (Service Engineer)</t>
  </si>
  <si>
    <t xml:space="preserve">Verified by (Supervisor / Technical)</t>
  </si>
  <si>
    <t xml:space="preserve">Witnessed by (Client I/C Fire Services)</t>
  </si>
  <si>
    <t xml:space="preserve">Name:</t>
  </si>
  <si>
    <t xml:space="preserve">Signature:</t>
  </si>
  <si>
    <t xml:space="preserve">Date:</t>
  </si>
  <si>
    <t xml:space="preserve">For Indus Fire Safety Private Limited – Authorised Signatory (Seal &amp; Signature): ______________________________</t>
  </si>
  <si>
    <t xml:space="preserve">CL-02  |  CHECK LIST – FIXED &amp; PORTABLE FIRE WATER / FOAM MONITORS MAINTENANCE</t>
  </si>
  <si>
    <t xml:space="preserve">Note: Put '√' for OK / Pass, 'X' for NOT OK / Fail and 'NA' for Not Applicable / Not Available. Record every abnormality in the Remarks column. Item numbers (1–10) are identical to the numbering in Section 6 (Check List Format) of IFSPL/M&amp;M/SOP/002.</t>
  </si>
  <si>
    <t xml:space="preserve">Free horizontal and vertical rotation; lock pin, gear and handle condition</t>
  </si>
  <si>
    <t xml:space="preserve">Swivel joint / ball bearing – no leakage, smooth rotation</t>
  </si>
  <si>
    <t xml:space="preserve">Nozzle – jet, spray and fog pattern, gasket and O-ring</t>
  </si>
  <si>
    <t xml:space="preserve">Pick-up tube, strainer and jubilee clips</t>
  </si>
  <si>
    <t xml:space="preserve">Isolation valve and drain valve operation</t>
  </si>
  <si>
    <t xml:space="preserve">Inlet coupling with NRV (trolley / portable monitors)</t>
  </si>
  <si>
    <t xml:space="preserve">Trolley wheels, axle, brake, towing assembly and support leg</t>
  </si>
  <si>
    <t xml:space="preserve">Functional / performance test</t>
  </si>
  <si>
    <t xml:space="preserve">Painting (2 coats primer + 2 coats Fire Red Shade 536)</t>
  </si>
  <si>
    <t xml:space="preserve">Label – date of servicing, date of performance test, ON / OFF position</t>
  </si>
  <si>
    <t xml:space="preserve">Applicable standards &amp; performance baseline – IFSPL/M&amp;M/SOP/002, Section 3 (Technical Specifications &amp; Performance Baseline)</t>
  </si>
  <si>
    <t xml:space="preserve">•  Monitor capacities covered: up to 500 GPM (fixed / portable), 500 – 1000 GPM and 1000 – 2000 GPM (trolley mounted).</t>
  </si>
  <si>
    <t xml:space="preserve">•  Swivel joint sizes: 2 ½", 3" and 4"; isolation valve sizes: 3" and 4" (fixed / portable) and 4", 6", 8" (trolley mounted).</t>
  </si>
  <si>
    <t xml:space="preserve">•  Skid mounted monitor: foam monitor 1750 LPM, 4" (100 mm) butterfly valve, 100 mm male / female instantaneous coupling, skid approx. 1200 mm x 800 mm with aluminium chequered plate, approx. 2 m of 100 mm pipe.</t>
  </si>
  <si>
    <t xml:space="preserve">•  Reference – Foam cum Water Monitor 500 GPM (US): flow 500 GPM at 7 kg/cm²; hydrostatic test pressure 25 kg/cm²; rotation 360°; elevation +75° / -30°; water range 50 m and foam range 45 m at 35°; induction rate 3 %; expansion ratio 1:6; finish Fire Red Shade 536 (IS 5).</t>
  </si>
  <si>
    <t xml:space="preserve">•  Applicable standards: IS 5 (colours), IS 8442 / UL (swivel joint), API-600 Class 150 (isolation valves).</t>
  </si>
  <si>
    <t xml:space="preserve">CL-03  |  CHECK LIST – DELIVERY HOSE BOXES MAINTENANCE</t>
  </si>
  <si>
    <t xml:space="preserve">Note: Put '√' for OK / Pass, 'X' for NOT OK / Fail and 'NA' for Not Applicable / Not Available. Record every abnormality in the Remarks column. Item numbers (1–8) are identical to the numbering in Section 6 (Check List Format) of IFSPL/M&amp;M/SOP/003.</t>
  </si>
  <si>
    <t xml:space="preserve">Front glass panel and key glass – intact</t>
  </si>
  <si>
    <t xml:space="preserve">Rubber beading / packing – condition</t>
  </si>
  <si>
    <t xml:space="preserve">Hinges and fittings – lubricated and functional</t>
  </si>
  <si>
    <t xml:space="preserve">Handle, lock and key availability</t>
  </si>
  <si>
    <t xml:space="preserve">Hoses and branch pipe present, clean and correctly stowed</t>
  </si>
  <si>
    <t xml:space="preserve">Box mounting and stand – stable and clean</t>
  </si>
  <si>
    <t xml:space="preserve">Painting – exterior Fire Red, interior white</t>
  </si>
  <si>
    <t xml:space="preserve">Labelling / numbering of hose box</t>
  </si>
  <si>
    <t xml:space="preserve">Applicable standards &amp; performance baseline – IFSPL/M&amp;M/SOP/003, Section 3 (Technical Specifications &amp; Performance Baseline)</t>
  </si>
  <si>
    <t xml:space="preserve">•  Hose box: LDPE construction suitable to accommodate 2 nos. 15 m long fire fighting hoses (Type B) with coupling and branch pipe.</t>
  </si>
  <si>
    <t xml:space="preserve">•  Finish: exterior Fire Red (IS 5, Shade 536) over 2 coats of primer; interior white; hinged double doors with polycarbonate glazing and locking arrangement.</t>
  </si>
  <si>
    <t xml:space="preserve">•  Door glass: polycarbonate of proper size with rubber beading.</t>
  </si>
  <si>
    <t xml:space="preserve">CL-04  |  CHECK LIST – FOAM POURER / FOAM MAKER SYSTEMS MAINTENANCE</t>
  </si>
  <si>
    <t xml:space="preserve">Note: Put '√' for OK / Pass, 'X' for NOT OK / Fail and 'NA' for Not Applicable / Not Available. Record every abnormality in the Remarks column. Item numbers (1–8) are identical to the numbering in Section 6 (Check List Format) of IFSPL/M&amp;M/SOP/004.</t>
  </si>
  <si>
    <t xml:space="preserve">Vapour seal (mica) glass – intact and sealed</t>
  </si>
  <si>
    <t xml:space="preserve">Foam pourer line – no leakage</t>
  </si>
  <si>
    <t xml:space="preserve">End coupling and blank cap – present, greased, functional</t>
  </si>
  <si>
    <t xml:space="preserve">Drain valve – operation</t>
  </si>
  <si>
    <t xml:space="preserve">Flange studs and bolts – tight, no corrosion</t>
  </si>
  <si>
    <t xml:space="preserve">Foam pourer body – corrosion / damage</t>
  </si>
  <si>
    <t xml:space="preserve">Painting of pourer and pipe lines – Fire Red</t>
  </si>
  <si>
    <t xml:space="preserve">Tank identification marking on end couplings</t>
  </si>
  <si>
    <t xml:space="preserve">Applicable standards &amp; performance baseline – IFSPL/M&amp;M/SOP/004, Section 3 (Technical Specifications &amp; Performance Baseline)</t>
  </si>
  <si>
    <t xml:space="preserve">•  Foam pourer / maker capacity: 150 to 1000 LPM at 3.5 kg/cm².</t>
  </si>
  <si>
    <t xml:space="preserve">•  Flange inlet: 50 mm, 65 mm, 80 mm, 100 mm and 150 mm; flange outlet: 80 mm, 100 mm and 150 mm; MS / GI material.</t>
  </si>
  <si>
    <t xml:space="preserve">•  Vapour seal: mica glass, breakable at a pressure of 1.5 kg/cm².</t>
  </si>
  <si>
    <t xml:space="preserve">•  End coupling: 63 mm dia male instantaneous coupling (SS / Gun Metal) with provision for NRV fitting.</t>
  </si>
  <si>
    <t xml:space="preserve">•  Lines supplying foam to one foam pourer are treated as one irrespective of the number or size of lines feeding it.</t>
  </si>
  <si>
    <t xml:space="preserve">CL-05  |  CHECK LIST – WATER SPRAY &amp; DRENCHER SYSTEMS MAINTENANCE</t>
  </si>
  <si>
    <t xml:space="preserve">Note: Put '√' for OK / Pass, 'X' for NOT OK / Fail and 'NA' for Not Applicable / Not Available. Record every abnormality in the Remarks column. Item numbers (1–8) are identical to the numbering in Section 6 (Check List Format) of IFSPL/M&amp;M/SOP/005.</t>
  </si>
  <si>
    <t xml:space="preserve">Spray nozzles – position, damage, blockage</t>
  </si>
  <si>
    <t xml:space="preserve">Nozzle strainers and revolving heads</t>
  </si>
  <si>
    <t xml:space="preserve">Pipeline, fittings, hangers and supports</t>
  </si>
  <si>
    <t xml:space="preserve">Isolation and drain valves – operation</t>
  </si>
  <si>
    <t xml:space="preserve">Pressure gauges and relief valves</t>
  </si>
  <si>
    <t xml:space="preserve">System flushing completed</t>
  </si>
  <si>
    <t xml:space="preserve">Full flow test – pattern and coverage satisfactory</t>
  </si>
  <si>
    <t xml:space="preserve">Valves restored to normal position</t>
  </si>
  <si>
    <t xml:space="preserve">After test</t>
  </si>
  <si>
    <t xml:space="preserve">Applicable standards &amp; performance baseline – IFSPL/M&amp;M/SOP/005, Section 3 (Technical Specifications &amp; Performance Baseline)</t>
  </si>
  <si>
    <t xml:space="preserve">•  Nozzle: 120° full-cone uniform spray pattern covering approx. 3 m diameter when located approx. 1 m from the shell surface; low impact and minimum rebound.</t>
  </si>
  <si>
    <t xml:space="preserve">•  Nozzle pressure available on the ring: 1.4 to 6 kgf/cm²; performance data required from 1.5 to 6.0 kgf/cm².</t>
  </si>
  <si>
    <t xml:space="preserve">•  Nozzle capacities: 1.5 kgf/cm² – 50 / 75 / 100 LPM; 2.0 kgf/cm² – 75 / 100 / 125 LPM; 2.5 kgf/cm² – 75 / 100 / 125 / 150 LPM.</t>
  </si>
  <si>
    <t xml:space="preserve">•  Non-clogging type; inlet tapered threads per IS 554; MS half coupling 3000 lbs rating per ANSI B 16.11; hexagonal / square outer shape for screwing.</t>
  </si>
  <si>
    <t xml:space="preserve">•  Material: body copper alloy grade-II (IS 318); deflector brass sheet (IS 410).</t>
  </si>
  <si>
    <t xml:space="preserve">CL-06  |  CHECK LIST – FOAM TROLLEY MAINTENANCE</t>
  </si>
  <si>
    <t xml:space="preserve">Note: Put '√' for OK / Pass, 'X' for NOT OK / Fail and 'NA' for Not Applicable / Not Available. Record every abnormality in the Remarks column. Item numbers (1–7) are identical to the numbering in Section 6 (Check List Format) of IFSPL/M&amp;M/SOP/006.</t>
  </si>
  <si>
    <t xml:space="preserve">Foam tank – clean, dry, no leakage</t>
  </si>
  <si>
    <t xml:space="preserve">Pick-up tube, NRV, strainer and drain valve</t>
  </si>
  <si>
    <t xml:space="preserve">Foam inductor – clean and functional (3 % induction)</t>
  </si>
  <si>
    <t xml:space="preserve">Couplings and lugs for inductor / branch</t>
  </si>
  <si>
    <t xml:space="preserve">Wheels and trolley movement</t>
  </si>
  <si>
    <t xml:space="preserve">Foam level / quantity and refilling date marked</t>
  </si>
  <si>
    <t xml:space="preserve">Painting – admiralty grey, labelling</t>
  </si>
  <si>
    <t xml:space="preserve">Applicable standards &amp; performance baseline – IFSPL/M&amp;M/SOP/006, Section 3 (Technical Specifications &amp; Performance Baseline)</t>
  </si>
  <si>
    <t xml:space="preserve">•  Foam induction: 3 %.</t>
  </si>
  <si>
    <t xml:space="preserve">•  Foam inductor: Gun Metal; inlet 63 mm male coupling / 2", 3" or 4" flange; outlet 63 mm female coupling / 2", 3" or 4" flange.</t>
  </si>
  <si>
    <t xml:space="preserve">•  Drain valve SS 316; pick-up tube PVC 20 mm hose pipe with end fittings; pick-up tube strainer SS 304.</t>
  </si>
  <si>
    <t xml:space="preserve">•  Foam branch: FB5X / FB10X (as per BIS) – SS / Bronze / Aluminium alloy; foam tank cap (4") PVC as per BS 336.</t>
  </si>
  <si>
    <t xml:space="preserve">•  Finish: 2 coats of admiralty grey paint (IS 5) over 2 coats of anti-corrosive primer.</t>
  </si>
  <si>
    <t xml:space="preserve">CL-07  |  CHECK LIST – MOBILE TROLLEY MOUNTED DCP SYSTEMS MAINTENANCE (150 KG)</t>
  </si>
  <si>
    <t xml:space="preserve">Note: Put '√' for OK / Pass, 'X' for NOT OK / Fail and 'NA' for Not Applicable / Not Available. Record every abnormality in the Remarks column. Item numbers (1–9) are identical to the numbering in Section 6 (Check List Format) of IFSPL/M&amp;M/SOP/007.</t>
  </si>
  <si>
    <t xml:space="preserve">DCP powder condition (no moisture lumps)</t>
  </si>
  <si>
    <t xml:space="preserve">Vessel hydrostatic test – 30 kg/cm² for 3 minutes</t>
  </si>
  <si>
    <t xml:space="preserve">Valves (incl. LOCK / OPEN marking) and N2 cylinder valves</t>
  </si>
  <si>
    <t xml:space="preserve">Hose, nozzle, couplings – no abrasion, cut, choke</t>
  </si>
  <si>
    <t xml:space="preserve">Pressure gauge, regulator and safety valve – calibration</t>
  </si>
  <si>
    <t xml:space="preserve">Pressure relief vent and filler cap gasket / threads</t>
  </si>
  <si>
    <t xml:space="preserve">Pipe lines purged with nitrogen / dry air</t>
  </si>
  <si>
    <t xml:space="preserve">Trolley – wheels, brake, towing hook</t>
  </si>
  <si>
    <t xml:space="preserve">Painting and labelling – test / refill dates</t>
  </si>
  <si>
    <t xml:space="preserve">Annual</t>
  </si>
  <si>
    <t xml:space="preserve">Once in three years</t>
  </si>
  <si>
    <t xml:space="preserve">Applicable standards &amp; performance baseline – IFSPL/M&amp;M/SOP/007, Section 3 (Technical Specifications &amp; Performance Baseline)</t>
  </si>
  <si>
    <t xml:space="preserve">•  DCP vessel hydrostatic test: 30 kg/cm² for 3 minutes (or per OEM manual); interval: once in three years.</t>
  </si>
  <si>
    <t xml:space="preserve">•  Servicing frequency: annual.</t>
  </si>
  <si>
    <t xml:space="preserve">•  Regulator: Gun Metal, make ESAB, model N-10, max. outlet pressure 10 Bar, max. flow 1000 LPM, service for nitrogen; safety valve vent pressure above 1.5 times (or as per OEM) of delivery working pressure.</t>
  </si>
  <si>
    <t xml:space="preserve">•  Pressure gauge: Bourdon type, 100 – 150 mm dial, glycerine filled, SS 304 body, sizes 2.5", 3", 4" and 6", with Gun Metal plug-type gauge cocks and copper / SS capillary.</t>
  </si>
  <si>
    <t xml:space="preserve">•  Finish: Fire Red, IS 5 Shade 536, over epoxy primer.</t>
  </si>
  <si>
    <t xml:space="preserve">CL-08  |  CHECK LIST – FIRE WATER DELUGE VALVES MAINTENANCE</t>
  </si>
  <si>
    <t xml:space="preserve">Note: Put '√' for OK / Pass, 'X' for NOT OK / Fail and 'NA' for Not Applicable / Not Available. Record every abnormality in the Remarks column. Item numbers (1–7) are identical to the numbering in Section 6 (Check List Format) of IFSPL/M&amp;M/SOP/008.</t>
  </si>
  <si>
    <t xml:space="preserve">Area cleared of vegetation (100 cm radius)</t>
  </si>
  <si>
    <t xml:space="preserve">Bypass and blinds provided before dismantling</t>
  </si>
  <si>
    <t xml:space="preserve">Valve internals cleaned; diaphragm, seat, O-ring, gasket checked / replaced</t>
  </si>
  <si>
    <t xml:space="preserve">Hydro test at 1.5 times operating pressure</t>
  </si>
  <si>
    <t xml:space="preserve">Pilot actuation system – function</t>
  </si>
  <si>
    <t xml:space="preserve">Instrumentation tubing – no leakage</t>
  </si>
  <si>
    <t xml:space="preserve">Re-installation and functional test</t>
  </si>
  <si>
    <t xml:space="preserve">Before work</t>
  </si>
  <si>
    <t xml:space="preserve">After servicing</t>
  </si>
  <si>
    <t xml:space="preserve">Applicable standards &amp; performance baseline – IFSPL/M&amp;M/SOP/008, Section 3 (Technical Specifications &amp; Performance Baseline)</t>
  </si>
  <si>
    <t xml:space="preserve">•  Valve types: globe pattern and butterfly, of various sizes at various locations.</t>
  </si>
  <si>
    <t xml:space="preserve">•  Hydro test pressure: 1.5 times the operating pressure.</t>
  </si>
  <si>
    <t xml:space="preserve">•  Cleaning solution: 5 % muriatic acid.</t>
  </si>
  <si>
    <t xml:space="preserve">•  Spares to be OEM only; spares not covered in the spares list to be supplied with rate reasonability certificate and original invoice.</t>
  </si>
  <si>
    <t xml:space="preserve">•  Associated parts: pilot valve, solenoid valve, pressure gauge, alarm gong, pressure sensor, drain valve, FSD valves and pulling knobs, diaphragm, actuator (pneumatic / electronic), spindle, seats and washers.</t>
  </si>
  <si>
    <t xml:space="preserve">CL-09  |  CHECK LIST – FIRST AID FIRE HOSE REELS MAINTENANCE</t>
  </si>
  <si>
    <t xml:space="preserve">Note: Put '√' for OK / Pass, 'X' for NOT OK / Fail and 'NA' for Not Applicable / Not Available. Record every abnormality in the Remarks column. Item numbers (1–7) are identical to the numbering in Section 6 (Check List Format) of IFSPL/M&amp;M/SOP/009.</t>
  </si>
  <si>
    <t xml:space="preserve">Free rotation / operation of reel</t>
  </si>
  <si>
    <t xml:space="preserve">Leakage at joints, swivel and valve</t>
  </si>
  <si>
    <t xml:space="preserve">Hose – kinks, cuts, cleaning, French chalk</t>
  </si>
  <si>
    <t xml:space="preserve">Shut-off nozzle and ball valve operation</t>
  </si>
  <si>
    <t xml:space="preserve">Hydrostatic body test – 21 Kg/cm²</t>
  </si>
  <si>
    <t xml:space="preserve">Jet range – 6 m at 7 Kg/cm²</t>
  </si>
  <si>
    <t xml:space="preserve">Painting and labelling</t>
  </si>
  <si>
    <t xml:space="preserve">Applicable standards &amp; performance baseline – IFSPL/M&amp;M/SOP/009, Section 3 (Technical Specifications &amp; Performance Baseline)</t>
  </si>
  <si>
    <t xml:space="preserve">•  Hose reel: 30 m long, 20 mm dia, thermoplastic hose as per IS 12585 / hydraulic rubber hose IS 444 Type-2, with 20 mm ball valve.</t>
  </si>
  <si>
    <t xml:space="preserve">•  Hose: working pressure 10 Kg/cm²; bursting pressure 40 Kg/cm².</t>
  </si>
  <si>
    <t xml:space="preserve">•  Hydrostatic pressure test (body test): 21 Kg/cm².</t>
  </si>
  <si>
    <t xml:space="preserve">•  Range (jet length): 6 m at 7 Kg/cm²; flow test: 24 litres per minute at 7 Kg/cm² (as stated in the Scope of Work).</t>
  </si>
  <si>
    <t xml:space="preserve">•  Drum: swinging 180° wall mounting; hub sides and wall bracket MS sheet (IS 513); swing joint LTB-2 (IS 318); pipe with fittings MS (IS 1239 Part-I); shut-off nozzle ¾" (IS 8090); inlet 20 mm (¾" BSP).</t>
  </si>
  <si>
    <t xml:space="preserve">CL-10  |  CHECK LIST – FIRE VEHICLES – ASSOCIATED WATER / FOAM SYSTEMS MAINTENANCE</t>
  </si>
  <si>
    <t xml:space="preserve">Note: Put '√' for OK / Pass, 'X' for NOT OK / Fail and 'NA' for Not Applicable / Not Available. Record every abnormality in the Remarks column. Item numbers (1–7) are identical to the numbering in Section 6 (Check List Format) of IFSPL/M&amp;M/SOP/010.</t>
  </si>
  <si>
    <t xml:space="preserve">Hose reel drum rotation and swivel joint</t>
  </si>
  <si>
    <t xml:space="preserve">Hose condition (LP / HP / UHP) – cuts, kinks, leakage</t>
  </si>
  <si>
    <t xml:space="preserve">Battery operated drum – electrical and manual operation</t>
  </si>
  <si>
    <t xml:space="preserve">Monitor rotation, lock, handle and gear</t>
  </si>
  <si>
    <t xml:space="preserve">Monitor nozzle pattern – jet / spray / fog</t>
  </si>
  <si>
    <t xml:space="preserve">Isolation, ball and butterfly valves; delivery valve</t>
  </si>
  <si>
    <t xml:space="preserve">Applicable standards &amp; performance baseline – IFSPL/M&amp;M/SOP/010, Section 3 (Technical Specifications &amp; Performance Baseline)</t>
  </si>
  <si>
    <t xml:space="preserve">•  Low pressure hose reel: 20 mm; length 30 m per the component table (the scope text states 60 m – confirm per vehicle); working pressure 10 Kg/cm², bursting 40 Kg/cm²; hydraulic rubber hose IS 444 Type-2 / thermoplastic hose IS 12585 Type-2; IS 884.</t>
  </si>
  <si>
    <t xml:space="preserve">•  High pressure hose reel: nylon braided hose 20 mm, 60 m, working pressure 40 Kg/cm², bursting 160 Kg/cm² (UL listed), yellow.</t>
  </si>
  <si>
    <t xml:space="preserve">•  Ultra high pressure hose reel: nylon braided hose 12.5 / 13 mm, 60 m, working pressure 100 Kg/cm², bursting 400 Kg/cm² (UL listed), yellow.</t>
  </si>
  <si>
    <t xml:space="preserve">•  Water mist gun: water particle size not more than 250 ± 100 micron; flow up to 145 ± 5 LPM; jet range 20 ± 3 m; spray range 16 ± 3 m; SS 304.</t>
  </si>
  <si>
    <t xml:space="preserve">•  Delivery valve of centrifugal fire pump per BIS 4928: body / hand wheel LTB-2 (IS 318); spindle brass rod (IS 320).</t>
  </si>
  <si>
    <t xml:space="preserve">CL-11  |  CHECK LIST – HYDRO TESTING &amp; PRESSURISATION OF FIRE EXTINGUISHERS</t>
  </si>
  <si>
    <t xml:space="preserve">Note: Put '√' for OK / Pass, 'X' for NOT OK / Fail and 'NA' for Not Applicable / Not Available. Record every abnormality in the Remarks column. Item numbers (1–9) are identical to the numbering in Section 6 (Check List Format) of IFSPL/M&amp;M/SOP/011.</t>
  </si>
  <si>
    <t xml:space="preserve">Calibration certificate of test gauge available</t>
  </si>
  <si>
    <t xml:space="preserve">Agent removed; outlets blinded; test with cap / valve</t>
  </si>
  <si>
    <t xml:space="preserve">Hydraulic test – 35 Bar for 3 minutes (no leakage / deformation)</t>
  </si>
  <si>
    <t xml:space="preserve">Date of hydro test marked on body</t>
  </si>
  <si>
    <t xml:space="preserve">Cap assembly, discharge tube, nozzle condition</t>
  </si>
  <si>
    <t xml:space="preserve">DCP powder / cartridge / CO2 weight check</t>
  </si>
  <si>
    <t xml:space="preserve">Nitrogen pressurisation (if applicable)</t>
  </si>
  <si>
    <t xml:space="preserve">Painting, label and tag (not for failed units)</t>
  </si>
  <si>
    <t xml:space="preserve">Test certificate issued</t>
  </si>
  <si>
    <t xml:space="preserve">Before start</t>
  </si>
  <si>
    <t xml:space="preserve">Each extinguisher</t>
  </si>
  <si>
    <t xml:space="preserve">As required</t>
  </si>
  <si>
    <t xml:space="preserve">Each lot</t>
  </si>
  <si>
    <t xml:space="preserve">Applicable standards &amp; performance baseline – IFSPL/M&amp;M/SOP/011, Section 3 (Technical Specifications &amp; Performance Baseline)</t>
  </si>
  <si>
    <t xml:space="preserve">•  Hydraulic test pressure: 35 Bar for three minutes (IS 2190).</t>
  </si>
  <si>
    <t xml:space="preserve">•  Painting: two coats of red oxide primer followed by two coats of red oxide paint, Shade 536 of IS 5.</t>
  </si>
  <si>
    <t xml:space="preserve">•  Pressurisation: dry nitrogen gas for pressure-type extinguishers.</t>
  </si>
  <si>
    <t xml:space="preserve">•  A lot of 20 extinguishers shall be refilled within 72 hours of handing over to the Firm's representative.</t>
  </si>
  <si>
    <t xml:space="preserve">•  Extinguishing agents (dry powder / AFFF) are provided by the Client.</t>
  </si>
  <si>
    <t xml:space="preserve">CL-12  |  CHECK LIST – MECHANICAL MEDIUM EXPANSION FOAM GENERATORS MAINTENANCE</t>
  </si>
  <si>
    <t xml:space="preserve">Note: Put '√' for OK / Pass, 'X' for NOT OK / Fail and 'NA' for Not Applicable / Not Available. Record every abnormality in the Remarks column. Item numbers (1–7) are identical to the numbering in Section 6 (Check List Format) of IFSPL/M&amp;M/SOP/012.</t>
  </si>
  <si>
    <t xml:space="preserve">Foam tank drained, washed; gasket replaced</t>
  </si>
  <si>
    <t xml:space="preserve">Level indicator – clean, no leakage</t>
  </si>
  <si>
    <t xml:space="preserve">Tank-to-inductor line, inductor and applicator flushed</t>
  </si>
  <si>
    <t xml:space="preserve">Pipe connections – no leakage</t>
  </si>
  <si>
    <t xml:space="preserve">Water supply isolation valve and NRV</t>
  </si>
  <si>
    <t xml:space="preserve">Pressure gauge and re-test of foam generator</t>
  </si>
  <si>
    <t xml:space="preserve">Painting</t>
  </si>
  <si>
    <t xml:space="preserve">Applicable standards &amp; performance baseline – IFSPL/M&amp;M/SOP/012, Section 3 (Technical Specifications &amp; Performance Baseline)</t>
  </si>
  <si>
    <t xml:space="preserve">•  Foam generator: body / barrel SS 304; nozzle Gun Metal (minimum 4 nos.); mesh and foam screen SS 304; inlet 80 mm SS 304 flange ASA 150.</t>
  </si>
  <si>
    <t xml:space="preserve">•  Nominal flow 600 LPM; expansion 1:40; foam output 24000 LPM; throw 3.5 m minimum.</t>
  </si>
  <si>
    <t xml:space="preserve">•  Unit dimension: 600 (L) x 350 (B) x 560 (H) mm ± 10 %; finish with luminous yellow paint.</t>
  </si>
  <si>
    <t xml:space="preserve">•  Inline inductor: 50 / 80 / 100 mm NB, SS 304 flange ASA 150; induction rate 3 % or variable.</t>
  </si>
  <si>
    <t xml:space="preserve">•  Level indicator pipe glass ¾" – thickened glass tube (as per sample).</t>
  </si>
  <si>
    <t xml:space="preserve">CL-13  |  CHECK LIST – CLEAN AGENT / CO2 FIRE SUPPRESSION SYSTEMS MAINTENANCE</t>
  </si>
  <si>
    <t xml:space="preserve">Note: Put '√' for OK / Pass, 'X' for NOT OK / Fail and 'NA' for Not Applicable / Not Available. Record every abnormality in the Remarks column. Item numbers (1–10) are identical to the numbering in Section 6 (Check List Format) of IFSPL/M&amp;M/SOP/013.</t>
  </si>
  <si>
    <t xml:space="preserve">Nozzles – position, obstruction, damage</t>
  </si>
  <si>
    <t xml:space="preserve">Cylinder pressure recorded; pressure drop &lt; 10 %</t>
  </si>
  <si>
    <t xml:space="preserve">Agent weight check; loss &lt; 5 %</t>
  </si>
  <si>
    <t xml:space="preserve">Cylinder clamps secure</t>
  </si>
  <si>
    <t xml:space="preserve">Hoses – visual examination</t>
  </si>
  <si>
    <t xml:space="preserve">Hose pressure test</t>
  </si>
  <si>
    <t xml:space="preserve">Actuation test without discharge of agent</t>
  </si>
  <si>
    <t xml:space="preserve">Abort switch, alarm, pre-discharge warning</t>
  </si>
  <si>
    <t xml:space="preserve">Wightman system</t>
  </si>
  <si>
    <t xml:space="preserve">Pipe lines blown through with compressed air</t>
  </si>
  <si>
    <t xml:space="preserve">Once in five years</t>
  </si>
  <si>
    <t xml:space="preserve">Applicable standards &amp; performance baseline – IFSPL/M&amp;M/SOP/013, Section 3 (Technical Specifications &amp; Performance Baseline)</t>
  </si>
  <si>
    <t xml:space="preserve">•  System makes: Siemens, Kidde, etc.; clean agent and CO2.</t>
  </si>
  <si>
    <t xml:space="preserve">•  Cylinder pressure drop of 10 % of design pressure: replace with charged cylinder (after Fire Officer approval).</t>
  </si>
  <si>
    <t xml:space="preserve">•  Agent weight loss of 5 %: recommend cylinder for replacement and record to the Client.</t>
  </si>
  <si>
    <t xml:space="preserve">•  Hose test: 1.5 times maximum container pressure at 130 °F (54.4 °C) or once in five years; annual visual examination.</t>
  </si>
  <si>
    <t xml:space="preserve">•  Gauge calibration is not required as it could release gas to atmosphere; replacement of cylinders with charge is not provided by the Firm.</t>
  </si>
  <si>
    <t xml:space="preserve">CL-14  |  CHECK LIST – DCP SYSTEMS OF FIRE TENDERS MAINTENANCE</t>
  </si>
  <si>
    <t xml:space="preserve">Note: Put '√' for OK / Pass, 'X' for NOT OK / Fail and 'NA' for Not Applicable / Not Available. Record every abnormality in the Remarks column. Item numbers (1–9) are identical to the numbering in Section 6 (Check List Format) of IFSPL/M&amp;M/SOP/014.</t>
  </si>
  <si>
    <t xml:space="preserve">Powder decanted and stored in moisture-proof bags</t>
  </si>
  <si>
    <t xml:space="preserve">Hydro test – 21 kg/cm² for 30 minutes</t>
  </si>
  <si>
    <t xml:space="preserve">Internal painting; gaskets, washers, O-rings replaced</t>
  </si>
  <si>
    <t xml:space="preserve">N2 hoses, regulator, gauges and PSV – calibration certificates</t>
  </si>
  <si>
    <t xml:space="preserve">Valves, nozzles, hose and hose reel – function</t>
  </si>
  <si>
    <t xml:space="preserve">Actuators / cartridges – piercing mechanism</t>
  </si>
  <si>
    <t xml:space="preserve">DCP monitor and pneumatic valve operation</t>
  </si>
  <si>
    <t xml:space="preserve">Painting, tagging and due dates marked</t>
  </si>
  <si>
    <t xml:space="preserve">Hydro test and servicing certificates issued</t>
  </si>
  <si>
    <t xml:space="preserve">Each hydro test</t>
  </si>
  <si>
    <t xml:space="preserve">As per due date</t>
  </si>
  <si>
    <t xml:space="preserve">Each unit</t>
  </si>
  <si>
    <t xml:space="preserve">Applicable standards &amp; performance baseline – IFSPL/M&amp;M/SOP/014, Section 3 (Technical Specifications &amp; Performance Baseline)</t>
  </si>
  <si>
    <t xml:space="preserve">•  Hydro test: 21 kg/cm² for 30 minutes; repeat if pressure drops.</t>
  </si>
  <si>
    <t xml:space="preserve">•  Regulator outlet setting: 14 Kg/cm² ± 0.5 Kg.</t>
  </si>
  <si>
    <t xml:space="preserve">•  Time schedule: capacity below 500 Kg – 2 weeks; 500 to 800 Kg – 3 weeks; 1000 x 2 Kg – 4 weeks from the date of initiation of work.</t>
  </si>
  <si>
    <t xml:space="preserve">•  N2 cylinder interconnecting hose: ¼", EN 853, WP 3265 psi, BP 13,060 psi; nitrogen inlet hose: EN 853, ½", WP 4000 psi, BP 16,000 psi.</t>
  </si>
  <si>
    <t xml:space="preserve">•  Spares as per OEM / OES; replacement of any part is decided by the Client; payment as per actual.</t>
  </si>
  <si>
    <t xml:space="preserve">CL-15  |  CHECK LIST – ISOLATION VALVES OF FIRE WATER NETWORK MAINTENANCE</t>
  </si>
  <si>
    <t xml:space="preserve">Note: Put '√' for OK / Pass, 'X' for NOT OK / Fail and 'NA' for Not Applicable / Not Available. Record every abnormality in the Remarks column. Item numbers (1–7) are identical to the numbering in Section 6 (Check List Format) of IFSPL/M&amp;M/SOP/015.</t>
  </si>
  <si>
    <t xml:space="preserve">Valve ID, size and location recorded</t>
  </si>
  <si>
    <t xml:space="preserve">Network kept operational during removal (standby valve)</t>
  </si>
  <si>
    <t xml:space="preserve">Gland / bush leakage rectified; gland packing</t>
  </si>
  <si>
    <t xml:space="preserve">Lubrication; smooth operation through full range</t>
  </si>
  <si>
    <t xml:space="preserve">Wheel and operating key</t>
  </si>
  <si>
    <t xml:space="preserve">Painting, labelling and ON / OFF marking</t>
  </si>
  <si>
    <t xml:space="preserve">Performance test witnessed</t>
  </si>
  <si>
    <t xml:space="preserve">Each valve</t>
  </si>
  <si>
    <t xml:space="preserve">During work</t>
  </si>
  <si>
    <t xml:space="preserve">Applicable standards &amp; performance baseline – IFSPL/M&amp;M/SOP/015, Section 3 (Technical Specifications &amp; Performance Baseline)</t>
  </si>
  <si>
    <t xml:space="preserve">•  Valve sizes covered: 1.5", 2", 3", 4", 6", 8", 10", 12", 14", 16", 18" and 20".</t>
  </si>
  <si>
    <t xml:space="preserve">•  Replacement valves: up to 4", Class 150, as per API-600; makes Norflow / Audco / Kirloskar / L&amp;T.</t>
  </si>
  <si>
    <t xml:space="preserve">•  Wheels: cast iron for valves ranging from 1.5" to 16".</t>
  </si>
  <si>
    <t xml:space="preserve">•  Painting: 2 coats; labelling and marking as per applicable standards and colour code.</t>
  </si>
  <si>
    <t xml:space="preserve">CL-16  |  CHECK LIST – CLEANING OF FIRE WATER TANKS AT FIRE STATIONS</t>
  </si>
  <si>
    <t xml:space="preserve">Note: Put '√' for OK / Pass, 'X' for NOT OK / Fail and 'NA' for Not Applicable / Not Available. Record every abnormality in the Remarks column. Item numbers (1–6) are identical to the numbering in Section 6 (Check List Format) of IFSPL/M&amp;M/SOP/016.</t>
  </si>
  <si>
    <t xml:space="preserve">Work permit and intimation to Fire Services</t>
  </si>
  <si>
    <t xml:space="preserve">Water drained completely</t>
  </si>
  <si>
    <t xml:space="preserve">Safety measures for depth &gt; 1.8 m</t>
  </si>
  <si>
    <t xml:space="preserve">Sludge and accumulated material removed</t>
  </si>
  <si>
    <t xml:space="preserve">Sludge disposed of outside premises</t>
  </si>
  <si>
    <t xml:space="preserve">Tiles, flooring and walls – no damage</t>
  </si>
  <si>
    <t xml:space="preserve">Each cleaning</t>
  </si>
  <si>
    <t xml:space="preserve">Applicable standards &amp; performance baseline – IFSPL/M&amp;M/SOP/016, Section 3 (Technical Specifications &amp; Performance Baseline)</t>
  </si>
  <si>
    <t xml:space="preserve">•  Tank capacity: up to 250 m³; RCC construction, below ground level with open top at ground level.</t>
  </si>
  <si>
    <t xml:space="preserve">•  Draining: using the pump available at the fire station.</t>
  </si>
  <si>
    <t xml:space="preserve">•  Depth more than 1.8 m: necessary personnel safety measures are mandatory.</t>
  </si>
  <si>
    <t xml:space="preserve">•  Sludge disposal: at an appropriate place outside the Client's premises.</t>
  </si>
  <si>
    <t xml:space="preserve">CL-17  |  CHECK LIST – FIRE BUCKETS &amp; BUCKET STANDS MAINTENANCE</t>
  </si>
  <si>
    <t xml:space="preserve">Note: Put '√' for OK / Pass, 'X' for NOT OK / Fail and 'NA' for Not Applicable / Not Available. Record every abnormality in the Remarks column. Item numbers (1–5) are identical to the numbering in Section 6 (Check List Format) of IFSPL/M&amp;M/SOP/017.</t>
  </si>
  <si>
    <t xml:space="preserve">Buckets – rust removed, cleaned</t>
  </si>
  <si>
    <t xml:space="preserve">Bucket painting – external Fire Red, internal white</t>
  </si>
  <si>
    <t xml:space="preserve">Sand / water refilled after paint dry</t>
  </si>
  <si>
    <t xml:space="preserve">Bucket stand – cleaned, stable</t>
  </si>
  <si>
    <t xml:space="preserve">Bucket stand painting</t>
  </si>
  <si>
    <t xml:space="preserve">Applicable standards &amp; performance baseline – IFSPL/M&amp;M/SOP/017, Section 3 (Technical Specifications &amp; Performance Baseline)</t>
  </si>
  <si>
    <t xml:space="preserve">•  Bucket: external Fire Red, internal white; one coat of primer before painting.</t>
  </si>
  <si>
    <t xml:space="preserve">•  Bucket stand: one coat of primer and one coat of Fire Red paint where required.</t>
  </si>
  <si>
    <t xml:space="preserve">•  Bucket content: sand or water, replaced after paint has dried.</t>
  </si>
  <si>
    <t xml:space="preserve">CL-18  |  CHECK LIST – FIRE DETECTION &amp; ALARM SYSTEMS MAINTENANCE</t>
  </si>
  <si>
    <t xml:space="preserve">Note: Put '√' for OK / Pass, 'X' for NOT OK / Fail and 'NA' for Not Applicable / Not Available. Record every abnormality in the Remarks column. Item numbers (1–7) are identical to the numbering in Section 6 (Check List Format) of IFSPL/M&amp;M/SOP/018.</t>
  </si>
  <si>
    <t xml:space="preserve">Panel – power supply, indications and faults</t>
  </si>
  <si>
    <t xml:space="preserve">Optical smoke detectors – cleaned and tested</t>
  </si>
  <si>
    <t xml:space="preserve">Beam detector – alignment and test</t>
  </si>
  <si>
    <t xml:space="preserve">Manual call points – operation test</t>
  </si>
  <si>
    <t xml:space="preserve">Hooter – operation</t>
  </si>
  <si>
    <t xml:space="preserve">Zone indication on panel for each test</t>
  </si>
  <si>
    <t xml:space="preserve">System restored to normal</t>
  </si>
  <si>
    <t xml:space="preserve">Applicable standards &amp; performance baseline – IFSPL/M&amp;M/SOP/018, Section 3 (Technical Specifications &amp; Performance Baseline)</t>
  </si>
  <si>
    <t xml:space="preserve">•  System type: conventional fire detection and alarm system.</t>
  </si>
  <si>
    <t xml:space="preserve">•  Components: optical smoke detector, beam detector, manual call point, panel and hooter.</t>
  </si>
  <si>
    <t xml:space="preserve">•  Spares and consumables required for repair and servicing are in the Firm's scope; quantity as per the price format.</t>
  </si>
  <si>
    <t xml:space="preserve">•  Scaffolding / ladder for access to detectors at height is provided by the Firm.</t>
  </si>
  <si>
    <t xml:space="preserve">CL-19  |  CHECK LIST – INLINE FOAM INDUCTORS MAINTENANCE</t>
  </si>
  <si>
    <t xml:space="preserve">Note: Put '√' for OK / Pass, 'X' for NOT OK / Fail and 'NA' for Not Applicable / Not Available. Record every abnormality in the Remarks column. Item numbers (1–4) are identical to the numbering in Section 6 (Check List Format) of IFSPL/M&amp;M/SOP/019.</t>
  </si>
  <si>
    <t xml:space="preserve">Pick-up tube / pipeline – washed, no leakage</t>
  </si>
  <si>
    <t xml:space="preserve">Inductor dismantled (where part of nurser) and cleaned</t>
  </si>
  <si>
    <t xml:space="preserve">3 % induction test with AFFF</t>
  </si>
  <si>
    <t xml:space="preserve">Painting – Fire Red</t>
  </si>
  <si>
    <t xml:space="preserve">Applicable standards &amp; performance baseline – IFSPL/M&amp;M/SOP/019, Section 3 (Technical Specifications &amp; Performance Baseline)</t>
  </si>
  <si>
    <t xml:space="preserve">•  Induction rate: 3 % (test with AFFF).</t>
  </si>
  <si>
    <t xml:space="preserve">•  Full system test: at least once in a year.</t>
  </si>
  <si>
    <t xml:space="preserve">•  Inductor material: Gun Metal; foam pick-up tube hard PVC 20 mm with SS 304 strainer (where applicable).</t>
  </si>
  <si>
    <t xml:space="preserve">•  Finish: Fire Red, Shade 536 (IS 5), surface tolerant epoxy primer before finish painting.</t>
  </si>
  <si>
    <t xml:space="preserve">CL-20  |  CHECK LIST – CLEANING OF FOAM &amp; WATER TANKS OF FIRE VEHICLES</t>
  </si>
  <si>
    <t xml:space="preserve">Note: Put '√' for OK / Pass, 'X' for NOT OK / Fail and 'NA' for Not Applicable / Not Available. Record every abnormality in the Remarks column. Item numbers (1–7) are identical to the numbering in Section 6 (Check List Format) of IFSPL/M&amp;M/SOP/020.</t>
  </si>
  <si>
    <t xml:space="preserve">Foam / water drained and stored as per procedure</t>
  </si>
  <si>
    <t xml:space="preserve">Sludge removed and disposed of properly</t>
  </si>
  <si>
    <t xml:space="preserve">Tanks washed with water</t>
  </si>
  <si>
    <t xml:space="preserve">Level indicator and pipelines – clean, no leakage</t>
  </si>
  <si>
    <t xml:space="preserve">Isolation valve, NRV – cleaned / oiled</t>
  </si>
  <si>
    <t xml:space="preserve">Corrosion spots – anti-corrosion paint</t>
  </si>
  <si>
    <t xml:space="preserve">Baffle plates – integrity, nuts and bolts</t>
  </si>
  <si>
    <t xml:space="preserve">Applicable standards &amp; performance baseline – IFSPL/M&amp;M/SOP/020, Section 3 (Technical Specifications &amp; Performance Baseline)</t>
  </si>
  <si>
    <t xml:space="preserve">•  Foam tank capacities: 50, 150, 500, 800, 1000, 3000 and 8000 litres.</t>
  </si>
  <si>
    <t xml:space="preserve">•  Water tank capacities: 500, 1500, 2000, 5000, 7000 and 12000 litres.</t>
  </si>
  <si>
    <t xml:space="preserve">•  Material of tanks: SS-316; baffle plate nuts and bolts SS-316.</t>
  </si>
  <si>
    <t xml:space="preserve">•  Accessories (oil, cloth, rubbing items, nuts and bolts for baffle plates) are provided by the Firm.</t>
  </si>
  <si>
    <t xml:space="preserve">CL-21  |  CHECK LIST – CLEANING OF OVERHEAD FOAM STORAGE TANKS</t>
  </si>
  <si>
    <t xml:space="preserve">Note: Put '√' for OK / Pass, 'X' for NOT OK / Fail and 'NA' for Not Applicable / Not Available. Record every abnormality in the Remarks column. Item numbers (1–6) are identical to the numbering in Section 6 (Check List Format) of IFSPL/M&amp;M/SOP/021.</t>
  </si>
  <si>
    <t xml:space="preserve">Foam concentrate drained into drums</t>
  </si>
  <si>
    <t xml:space="preserve">Tank washed with water</t>
  </si>
  <si>
    <t xml:space="preserve">Filling pipeline / hose – clean, no leakage</t>
  </si>
  <si>
    <t xml:space="preserve">Isolation valve and NRV – cleaned / oiled</t>
  </si>
  <si>
    <t xml:space="preserve">Tank condition – no damage</t>
  </si>
  <si>
    <t xml:space="preserve">After cleaning</t>
  </si>
  <si>
    <t xml:space="preserve">Applicable standards &amp; performance baseline – IFSPL/M&amp;M/SOP/021, Section 3 (Technical Specifications &amp; Performance Baseline)</t>
  </si>
  <si>
    <t xml:space="preserve">•  Overhead foam storage tank capacity: 5000 litres; PVC; installed on a metal structure.</t>
  </si>
  <si>
    <t xml:space="preserve">•  Foam concentrate: AFFF; drums provided by the Client.</t>
  </si>
  <si>
    <t xml:space="preserve">•  Accessories (oil, cloth, rubbing items) provided by the Firm.</t>
  </si>
  <si>
    <t xml:space="preserve">CL-22  |  CHECK LIST – SERVICING &amp; HYDRO TESTING OF CA FOAM / WATER MIST EXTINGUISHERS</t>
  </si>
  <si>
    <t xml:space="preserve">Note: Put '√' for OK / Pass, 'X' for NOT OK / Fail and 'NA' for Not Applicable / Not Available. Record every abnormality in the Remarks column. Item numbers (1–7) are identical to the numbering in Section 6 (Check List Format) of IFSPL/M&amp;M/SOP/022.</t>
  </si>
  <si>
    <t xml:space="preserve">Hydraulic pressure test (not below 35 Bar)</t>
  </si>
  <si>
    <t xml:space="preserve">PSV setting</t>
  </si>
  <si>
    <t xml:space="preserve">Cap assembly, discharge hose, gun</t>
  </si>
  <si>
    <t xml:space="preserve">Air cylinder pressure</t>
  </si>
  <si>
    <t xml:space="preserve">Painting, labelling and tagging</t>
  </si>
  <si>
    <t xml:space="preserve">Applicable standards &amp; performance baseline – IFSPL/M&amp;M/SOP/022, Section 3 (Technical Specifications &amp; Performance Baseline)</t>
  </si>
  <si>
    <t xml:space="preserve">•  Hydraulic test pressure: as per OEM recommendation but not below 35 Bar.</t>
  </si>
  <si>
    <t xml:space="preserve">•  Painting: two coats of yellow primer followed by two coats of red paint, Shade 536 of IS 5.</t>
  </si>
  <si>
    <t xml:space="preserve">•  All material, equipment, paint, brushes, primer and labelling stickers are arranged by the Firm.</t>
  </si>
  <si>
    <t xml:space="preserve">•  Safety guard / cage shall be used during hydraulic pressure testing.</t>
  </si>
  <si>
    <t xml:space="preserve">CL-23  |  CHECK LIST – SERVICING &amp; HYDRO TESTING OF AIR COMPRESSORS (TYRE AIR FILLING)</t>
  </si>
  <si>
    <t xml:space="preserve">Note: Put '√' for OK / Pass, 'X' for NOT OK / Fail and 'NA' for Not Applicable / Not Available. Record every abnormality in the Remarks column. Item numbers (1–7) are identical to the numbering in Section 6 (Check List Format) of IFSPL/M&amp;M/SOP/023.</t>
  </si>
  <si>
    <t xml:space="preserve">Air filter replaced</t>
  </si>
  <si>
    <t xml:space="preserve">Pressure gauge replaced</t>
  </si>
  <si>
    <t xml:space="preserve">Lubricating oil changed</t>
  </si>
  <si>
    <t xml:space="preserve">Pressure switch calibrated (NABL)</t>
  </si>
  <si>
    <t xml:space="preserve">Air vessel hydro test – 15 Kg/cm² for 15 minutes</t>
  </si>
  <si>
    <t xml:space="preserve">Test date and due date marked on tank</t>
  </si>
  <si>
    <t xml:space="preserve">Each test</t>
  </si>
  <si>
    <t xml:space="preserve">Each air vessel</t>
  </si>
  <si>
    <t xml:space="preserve">Applicable standards &amp; performance baseline – IFSPL/M&amp;M/SOP/023, Section 3 (Technical Specifications &amp; Performance Baseline)</t>
  </si>
  <si>
    <t xml:space="preserve">•  Air vessel hydraulic test: 15 Kg/cm² for 15 minutes; no drop in pressure.</t>
  </si>
  <si>
    <t xml:space="preserve">•  Pressure switch calibration by an NABL approved firm.</t>
  </si>
  <si>
    <t xml:space="preserve">•  Work completion: within 5 days from the date of start of work for each compressor.</t>
  </si>
  <si>
    <t xml:space="preserve">•  Compressors covered (indicative): TOYO DTY 2 and K G Khosla AB 7.75 at the fire stations.</t>
  </si>
  <si>
    <t xml:space="preserve">CL-24  |  CHECK LIST – CALIBRATION OF WEIGHING MACHINES</t>
  </si>
  <si>
    <t xml:space="preserve">Note: Put '√' for OK / Pass, 'X' for NOT OK / Fail and 'NA' for Not Applicable / Not Available. Record every abnormality in the Remarks column. Item numbers (1–5) are identical to the numbering in Section 6 (Check List Format) of IFSPL/M&amp;M/SOP/024.</t>
  </si>
  <si>
    <t xml:space="preserve">Machine make, capacity and serial number recorded</t>
  </si>
  <si>
    <t xml:space="preserve">Calibration by NABL approved firm</t>
  </si>
  <si>
    <t xml:space="preserve">Completed within 5 days from receipt</t>
  </si>
  <si>
    <t xml:space="preserve">Calibration certificate obtained</t>
  </si>
  <si>
    <t xml:space="preserve">Machine returned to Client with certificate</t>
  </si>
  <si>
    <t xml:space="preserve">Each calibration</t>
  </si>
  <si>
    <t xml:space="preserve">Each machine</t>
  </si>
  <si>
    <t xml:space="preserve">Applicable standards &amp; performance baseline – IFSPL/M&amp;M/SOP/024, Section 3 (Technical Specifications &amp; Performance Baseline)</t>
  </si>
  <si>
    <t xml:space="preserve">•  Calibration agency: NABL approved firm.</t>
  </si>
  <si>
    <t xml:space="preserve">•  Time: within 5 days from the date of receipt of the machine.</t>
  </si>
  <si>
    <t xml:space="preserve">•  Machines in present status: OMEGA 50 / 200 / 500 Kg; V K Makwana &amp; Company 200 Kg (3 nos.).</t>
  </si>
  <si>
    <t xml:space="preserve">•  A calibration certificate from the approved laboratory is required for each machine.</t>
  </si>
  <si>
    <t xml:space="preserve">CL-25  |  CHECK LIST – SERVICING &amp; CALIBRATION OF DIGITAL LEVEL INDICATORS (OVERHEAD FOAM TANK)</t>
  </si>
  <si>
    <t xml:space="preserve">Note: Put '√' for OK / Pass, 'X' for NOT OK / Fail and 'NA' for Not Applicable / Not Available. Record every abnormality in the Remarks column. Item numbers (1–4) are identical to the numbering in Section 6 (Check List Format) of IFSPL/M&amp;M/SOP/025.</t>
  </si>
  <si>
    <t xml:space="preserve">Activity planned with annual foam tank cleaning</t>
  </si>
  <si>
    <t xml:space="preserve">Probe and display – servicing and connection check</t>
  </si>
  <si>
    <t xml:space="preserve">Calibration per OEM guidelines (NABL approved firm)</t>
  </si>
  <si>
    <t xml:space="preserve">Calibration certificate issued</t>
  </si>
  <si>
    <t xml:space="preserve">Each cycle</t>
  </si>
  <si>
    <t xml:space="preserve">Each indicator</t>
  </si>
  <si>
    <t xml:space="preserve">Applicable standards &amp; performance baseline – IFSPL/M&amp;M/SOP/025, Section 3 (Technical Specifications &amp; Performance Baseline)</t>
  </si>
  <si>
    <t xml:space="preserve">•  Instrument: capacitance continuous level indicator; Model MPILC; make SAPCON Instruments Pvt. Ltd.</t>
  </si>
  <si>
    <t xml:space="preserve">•  Calibration: as per OEM guidelines, at Central Fire Station, Gandhar, by an NABL approved firm.</t>
  </si>
  <si>
    <t xml:space="preserve">•  Work clubbed with annual cleaning of the overhead foam tank.</t>
  </si>
  <si>
    <t xml:space="preserve">CL-26  |  CHECK LIST – HANGING &amp; MOUNTING OF PORTABLE FIRE EXTINGUISHERS</t>
  </si>
  <si>
    <t xml:space="preserve">Note: Put '√' for OK / Pass, 'X' for NOT OK / Fail and 'NA' for Not Applicable / Not Available. Record every abnormality in the Remarks column. Item numbers (1–4) are identical to the numbering in Section 6 (Check List Format) of IFSPL/M&amp;M/SOP/026.</t>
  </si>
  <si>
    <t xml:space="preserve">Location approved by Mines Fire Officer</t>
  </si>
  <si>
    <t xml:space="preserve">Bracket / hanger fixed with suitable filling material</t>
  </si>
  <si>
    <t xml:space="preserve">Strength test by hanging the extinguisher</t>
  </si>
  <si>
    <t xml:space="preserve">Extinguisher box mounted (where applicable)</t>
  </si>
  <si>
    <t xml:space="preserve">Each installation</t>
  </si>
  <si>
    <t xml:space="preserve">Applicable standards &amp; performance baseline – IFSPL/M&amp;M/SOP/026, Section 3 (Technical Specifications &amp; Performance Baseline)</t>
  </si>
  <si>
    <t xml:space="preserve">•  Extinguishers: portable fire extinguishers as defined in IS 15683.</t>
  </si>
  <si>
    <t xml:space="preserve">•  Mounting: wall mounting bracket and screws provided by the Firm at no extra cost; tools arranged by the Firm.</t>
  </si>
  <si>
    <t xml:space="preserve">•  Fixing: screwed with suitable filling material for strength and stability.</t>
  </si>
  <si>
    <t xml:space="preserve">•  Frequency: as and when required.</t>
  </si>
  <si>
    <t xml:space="preserve">ILLUSTRATIVE EXAMPLE – SAMPLE DATA ONLY (NOT A REAL RECORD)  |  CL-01  |  CHECK LIST – FIRE HYDRANTS &amp; FIRE BRIGADE INLET MAINTENANCE</t>
  </si>
  <si>
    <t xml:space="preserve">SAMPLE CLIENT LTD., Plot 00, Industrial Estate, Vadodara</t>
  </si>
  <si>
    <t xml:space="preserve">PO-0000 (sample)</t>
  </si>
  <si>
    <t xml:space="preserve">WO-0000 (sample)</t>
  </si>
  <si>
    <t xml:space="preserve">Monthly</t>
  </si>
  <si>
    <t xml:space="preserve">October – 2026</t>
  </si>
  <si>
    <t xml:space="preserve">P-01</t>
  </si>
  <si>
    <t xml:space="preserve">SAMPLE/HYD/01</t>
  </si>
  <si>
    <t xml:space="preserve">Near pump house</t>
  </si>
  <si>
    <t xml:space="preserve">√</t>
  </si>
  <si>
    <t xml:space="preserve">SAMPLE/HYD/02</t>
  </si>
  <si>
    <t xml:space="preserve">North side tank farm</t>
  </si>
  <si>
    <t xml:space="preserve">NA</t>
  </si>
  <si>
    <t xml:space="preserve">P-02</t>
  </si>
  <si>
    <t xml:space="preserve">SAMPLE/HYD/03</t>
  </si>
  <si>
    <t xml:space="preserve">Main gate road</t>
  </si>
  <si>
    <t xml:space="preserve">X</t>
  </si>
  <si>
    <t xml:space="preserve">Item 2 failed: spring weak – replaced; re-test OK (sample remark)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</si>
</sst>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71C1C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u val="single"/>
      <sz val="9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B00000"/>
      <name val="Arial"/>
      <family val="0"/>
      <charset val="1"/>
    </font>
    <font>
      <b val="true"/>
      <sz val="15"/>
      <color rgb="FFB71C1C"/>
      <name val="Arial"/>
      <family val="0"/>
      <charset val="1"/>
    </font>
    <font>
      <b val="true"/>
      <sz val="8"/>
      <color rgb="FF000000"/>
      <name val="Arial"/>
      <family val="0"/>
      <charset val="1"/>
    </font>
    <font>
      <i val="true"/>
      <sz val="8.5"/>
      <color rgb="FF000000"/>
      <name val="Arial"/>
      <family val="0"/>
      <charset val="1"/>
    </font>
    <font>
      <b val="true"/>
      <sz val="8.5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sz val="8.5"/>
      <color rgb="FF000000"/>
      <name val="Arial"/>
      <family val="0"/>
      <charset val="1"/>
    </font>
    <font>
      <sz val="9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71C1C"/>
        <bgColor rgb="FFB00000"/>
      </patternFill>
    </fill>
    <fill>
      <patternFill patternType="solid">
        <fgColor rgb="FFF2F2F2"/>
        <bgColor rgb="FFFFF8E1"/>
      </patternFill>
    </fill>
    <fill>
      <patternFill patternType="solid">
        <fgColor rgb="FF404040"/>
        <bgColor rgb="FF333300"/>
      </patternFill>
    </fill>
    <fill>
      <patternFill patternType="solid">
        <fgColor rgb="FFFFF8E1"/>
        <bgColor rgb="FFF2F2F2"/>
      </patternFill>
    </fill>
    <fill>
      <patternFill patternType="solid">
        <fgColor rgb="FFD9D9D9"/>
        <bgColor rgb="FFE0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00000"/>
      </font>
      <fill>
        <patternFill>
          <bgColor rgb="FFF8BBBB"/>
        </patternFill>
      </fill>
    </dxf>
    <dxf>
      <fill>
        <patternFill>
          <bgColor rgb="FFE0E0E0"/>
        </patternFill>
      </fill>
    </dxf>
    <dxf>
      <fill>
        <patternFill>
          <bgColor rgb="FFDDF0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DDF0DD"/>
      <rgbColor rgb="FFFFFF99"/>
      <rgbColor rgb="FF99CCFF"/>
      <rgbColor rgb="FFFF99CC"/>
      <rgbColor rgb="FFCC99FF"/>
      <rgbColor rgb="FFF8BBBB"/>
      <rgbColor rgb="FF3366FF"/>
      <rgbColor rgb="FF33CCCC"/>
      <rgbColor rgb="FF99CC00"/>
      <rgbColor rgb="FFFFCC00"/>
      <rgbColor rgb="FFFF9900"/>
      <rgbColor rgb="FFFF6600"/>
      <rgbColor rgb="FF666699"/>
      <rgbColor rgb="FF888888"/>
      <rgbColor rgb="FF003366"/>
      <rgbColor rgb="FF339966"/>
      <rgbColor rgb="FF003300"/>
      <rgbColor rgb="FF333300"/>
      <rgbColor rgb="FFB71C1C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G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2"/>
    <col collapsed="false" customWidth="true" hidden="false" outlineLevel="0" max="4" min="4" style="0" width="52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4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4" t="s">
        <v>3</v>
      </c>
      <c r="B4" s="4"/>
      <c r="C4" s="5" t="s">
        <v>4</v>
      </c>
      <c r="D4" s="5"/>
      <c r="E4" s="5"/>
      <c r="F4" s="5"/>
      <c r="G4" s="5"/>
    </row>
    <row r="5" customFormat="false" ht="15" hidden="false" customHeight="true" outlineLevel="0" collapsed="false">
      <c r="A5" s="4" t="s">
        <v>5</v>
      </c>
      <c r="B5" s="4"/>
      <c r="C5" s="5" t="s">
        <v>6</v>
      </c>
      <c r="D5" s="5"/>
      <c r="E5" s="5"/>
      <c r="F5" s="5"/>
      <c r="G5" s="5"/>
    </row>
    <row r="6" customFormat="false" ht="15" hidden="false" customHeight="true" outlineLevel="0" collapsed="false">
      <c r="A6" s="4" t="s">
        <v>7</v>
      </c>
      <c r="B6" s="4"/>
      <c r="C6" s="5" t="s">
        <v>8</v>
      </c>
      <c r="D6" s="5"/>
      <c r="E6" s="5"/>
      <c r="F6" s="5"/>
      <c r="G6" s="5"/>
    </row>
    <row r="7" customFormat="false" ht="15" hidden="false" customHeight="true" outlineLevel="0" collapsed="false">
      <c r="A7" s="4" t="s">
        <v>9</v>
      </c>
      <c r="B7" s="4"/>
      <c r="C7" s="5" t="s">
        <v>10</v>
      </c>
      <c r="D7" s="5"/>
      <c r="E7" s="5"/>
      <c r="F7" s="5"/>
      <c r="G7" s="5"/>
    </row>
    <row r="8" customFormat="false" ht="15" hidden="false" customHeight="true" outlineLevel="0" collapsed="false">
      <c r="A8" s="4" t="s">
        <v>11</v>
      </c>
      <c r="B8" s="4"/>
      <c r="C8" s="5" t="s">
        <v>12</v>
      </c>
      <c r="D8" s="5"/>
      <c r="E8" s="5"/>
      <c r="F8" s="5"/>
      <c r="G8" s="5"/>
    </row>
    <row r="9" customFormat="false" ht="15" hidden="false" customHeight="true" outlineLevel="0" collapsed="false">
      <c r="A9" s="4" t="s">
        <v>13</v>
      </c>
      <c r="B9" s="4"/>
      <c r="C9" s="5" t="s">
        <v>14</v>
      </c>
      <c r="D9" s="5"/>
      <c r="E9" s="5"/>
      <c r="F9" s="5"/>
      <c r="G9" s="5"/>
    </row>
    <row r="10" customFormat="false" ht="15" hidden="false" customHeight="true" outlineLevel="0" collapsed="false">
      <c r="A10" s="6" t="s">
        <v>15</v>
      </c>
      <c r="B10" s="6"/>
      <c r="C10" s="6"/>
      <c r="D10" s="6"/>
      <c r="E10" s="6"/>
      <c r="F10" s="6"/>
      <c r="G10" s="6"/>
    </row>
    <row r="12" customFormat="false" ht="25.5" hidden="false" customHeight="true" outlineLevel="0" collapsed="false">
      <c r="A12" s="7" t="s">
        <v>16</v>
      </c>
      <c r="B12" s="7" t="s">
        <v>17</v>
      </c>
      <c r="C12" s="7" t="s">
        <v>18</v>
      </c>
      <c r="D12" s="7" t="s">
        <v>19</v>
      </c>
      <c r="E12" s="7" t="s">
        <v>20</v>
      </c>
      <c r="F12" s="7" t="s">
        <v>21</v>
      </c>
      <c r="G12" s="7" t="s">
        <v>22</v>
      </c>
    </row>
    <row r="13" customFormat="false" ht="19.5" hidden="false" customHeight="true" outlineLevel="0" collapsed="false">
      <c r="A13" s="8" t="s">
        <v>23</v>
      </c>
      <c r="B13" s="5" t="s">
        <v>24</v>
      </c>
      <c r="C13" s="5" t="s">
        <v>25</v>
      </c>
      <c r="D13" s="5" t="s">
        <v>26</v>
      </c>
      <c r="E13" s="9" t="n">
        <v>10</v>
      </c>
      <c r="F13" s="10" t="str">
        <f aca="false">HYPERLINK("#'CL-01 Hydrant &amp; FB Inlet'!A1","Open  ›")</f>
        <v>Open  ›</v>
      </c>
      <c r="G13" s="5" t="s">
        <v>27</v>
      </c>
    </row>
    <row r="14" customFormat="false" ht="19.5" hidden="false" customHeight="true" outlineLevel="0" collapsed="false">
      <c r="A14" s="8" t="s">
        <v>28</v>
      </c>
      <c r="B14" s="5" t="s">
        <v>29</v>
      </c>
      <c r="C14" s="5" t="s">
        <v>30</v>
      </c>
      <c r="D14" s="5" t="s">
        <v>31</v>
      </c>
      <c r="E14" s="9" t="n">
        <v>10</v>
      </c>
      <c r="F14" s="10" t="str">
        <f aca="false">HYPERLINK("#'CL-02 Foam-Water Monitors'!A1","Open  ›")</f>
        <v>Open  ›</v>
      </c>
      <c r="G14" s="5" t="s">
        <v>32</v>
      </c>
    </row>
    <row r="15" customFormat="false" ht="19.5" hidden="false" customHeight="true" outlineLevel="0" collapsed="false">
      <c r="A15" s="8" t="s">
        <v>33</v>
      </c>
      <c r="B15" s="5" t="s">
        <v>34</v>
      </c>
      <c r="C15" s="5" t="s">
        <v>35</v>
      </c>
      <c r="D15" s="5" t="s">
        <v>36</v>
      </c>
      <c r="E15" s="9" t="n">
        <v>8</v>
      </c>
      <c r="F15" s="10" t="str">
        <f aca="false">HYPERLINK("#'CL-03 Hose Boxes'!A1","Open  ›")</f>
        <v>Open  ›</v>
      </c>
      <c r="G15" s="5" t="s">
        <v>37</v>
      </c>
    </row>
    <row r="16" customFormat="false" ht="19.5" hidden="false" customHeight="true" outlineLevel="0" collapsed="false">
      <c r="A16" s="8" t="s">
        <v>38</v>
      </c>
      <c r="B16" s="5" t="s">
        <v>39</v>
      </c>
      <c r="C16" s="5" t="s">
        <v>40</v>
      </c>
      <c r="D16" s="5" t="s">
        <v>41</v>
      </c>
      <c r="E16" s="9" t="n">
        <v>8</v>
      </c>
      <c r="F16" s="10" t="str">
        <f aca="false">HYPERLINK("#'CL-04 Foam Pourer-Maker'!A1","Open  ›")</f>
        <v>Open  ›</v>
      </c>
      <c r="G16" s="5" t="s">
        <v>42</v>
      </c>
    </row>
    <row r="17" customFormat="false" ht="19.5" hidden="false" customHeight="true" outlineLevel="0" collapsed="false">
      <c r="A17" s="8" t="s">
        <v>43</v>
      </c>
      <c r="B17" s="5" t="s">
        <v>44</v>
      </c>
      <c r="C17" s="5" t="s">
        <v>45</v>
      </c>
      <c r="D17" s="5" t="s">
        <v>46</v>
      </c>
      <c r="E17" s="9" t="n">
        <v>8</v>
      </c>
      <c r="F17" s="10" t="str">
        <f aca="false">HYPERLINK("#'CL-05 Spray &amp; Drencher'!A1","Open  ›")</f>
        <v>Open  ›</v>
      </c>
      <c r="G17" s="5" t="s">
        <v>47</v>
      </c>
    </row>
    <row r="18" customFormat="false" ht="19.5" hidden="false" customHeight="true" outlineLevel="0" collapsed="false">
      <c r="A18" s="8" t="s">
        <v>48</v>
      </c>
      <c r="B18" s="5" t="s">
        <v>49</v>
      </c>
      <c r="C18" s="5" t="s">
        <v>50</v>
      </c>
      <c r="D18" s="5" t="s">
        <v>51</v>
      </c>
      <c r="E18" s="9" t="n">
        <v>7</v>
      </c>
      <c r="F18" s="10" t="str">
        <f aca="false">HYPERLINK("#'CL-06 Foam Trolleys'!A1","Open  ›")</f>
        <v>Open  ›</v>
      </c>
      <c r="G18" s="5" t="s">
        <v>52</v>
      </c>
    </row>
    <row r="19" customFormat="false" ht="19.5" hidden="false" customHeight="true" outlineLevel="0" collapsed="false">
      <c r="A19" s="8" t="s">
        <v>53</v>
      </c>
      <c r="B19" s="5" t="s">
        <v>54</v>
      </c>
      <c r="C19" s="5" t="s">
        <v>55</v>
      </c>
      <c r="D19" s="5" t="s">
        <v>56</v>
      </c>
      <c r="E19" s="9" t="n">
        <v>9</v>
      </c>
      <c r="F19" s="10" t="str">
        <f aca="false">HYPERLINK("#'CL-07 Trolley DCP 150Kg'!A1","Open  ›")</f>
        <v>Open  ›</v>
      </c>
      <c r="G19" s="5" t="s">
        <v>42</v>
      </c>
    </row>
    <row r="20" customFormat="false" ht="19.5" hidden="false" customHeight="true" outlineLevel="0" collapsed="false">
      <c r="A20" s="8" t="s">
        <v>57</v>
      </c>
      <c r="B20" s="5" t="s">
        <v>58</v>
      </c>
      <c r="C20" s="5" t="s">
        <v>59</v>
      </c>
      <c r="D20" s="5" t="s">
        <v>60</v>
      </c>
      <c r="E20" s="9" t="n">
        <v>7</v>
      </c>
      <c r="F20" s="10" t="str">
        <f aca="false">HYPERLINK("#'CL-08 Deluge Valves'!A1","Open  ›")</f>
        <v>Open  ›</v>
      </c>
      <c r="G20" s="5" t="s">
        <v>42</v>
      </c>
    </row>
    <row r="21" customFormat="false" ht="19.5" hidden="false" customHeight="true" outlineLevel="0" collapsed="false">
      <c r="A21" s="8" t="s">
        <v>61</v>
      </c>
      <c r="B21" s="5" t="s">
        <v>62</v>
      </c>
      <c r="C21" s="5" t="s">
        <v>63</v>
      </c>
      <c r="D21" s="5" t="s">
        <v>64</v>
      </c>
      <c r="E21" s="9" t="n">
        <v>7</v>
      </c>
      <c r="F21" s="10" t="str">
        <f aca="false">HYPERLINK("#'CL-09 Hose Reels'!A1","Open  ›")</f>
        <v>Open  ›</v>
      </c>
      <c r="G21" s="5" t="s">
        <v>65</v>
      </c>
    </row>
    <row r="22" customFormat="false" ht="19.5" hidden="false" customHeight="true" outlineLevel="0" collapsed="false">
      <c r="A22" s="8" t="s">
        <v>66</v>
      </c>
      <c r="B22" s="5" t="s">
        <v>67</v>
      </c>
      <c r="C22" s="5" t="s">
        <v>68</v>
      </c>
      <c r="D22" s="5" t="s">
        <v>69</v>
      </c>
      <c r="E22" s="9" t="n">
        <v>7</v>
      </c>
      <c r="F22" s="10" t="str">
        <f aca="false">HYPERLINK("#'CL-10 Fire Vehicle Systems'!A1","Open  ›")</f>
        <v>Open  ›</v>
      </c>
      <c r="G22" s="5" t="s">
        <v>42</v>
      </c>
    </row>
    <row r="23" customFormat="false" ht="19.5" hidden="false" customHeight="true" outlineLevel="0" collapsed="false">
      <c r="A23" s="8" t="s">
        <v>70</v>
      </c>
      <c r="B23" s="5" t="s">
        <v>71</v>
      </c>
      <c r="C23" s="5" t="s">
        <v>72</v>
      </c>
      <c r="D23" s="5" t="s">
        <v>73</v>
      </c>
      <c r="E23" s="9" t="n">
        <v>9</v>
      </c>
      <c r="F23" s="10" t="str">
        <f aca="false">HYPERLINK("#'CL-11 Extinguisher HPT'!A1","Open  ›")</f>
        <v>Open  ›</v>
      </c>
      <c r="G23" s="5" t="s">
        <v>74</v>
      </c>
    </row>
    <row r="24" customFormat="false" ht="19.5" hidden="false" customHeight="true" outlineLevel="0" collapsed="false">
      <c r="A24" s="8" t="s">
        <v>75</v>
      </c>
      <c r="B24" s="5" t="s">
        <v>76</v>
      </c>
      <c r="C24" s="5" t="s">
        <v>77</v>
      </c>
      <c r="D24" s="5" t="s">
        <v>78</v>
      </c>
      <c r="E24" s="9" t="n">
        <v>7</v>
      </c>
      <c r="F24" s="10" t="str">
        <f aca="false">HYPERLINK("#'CL-12 MX Foam Generators'!A1","Open  ›")</f>
        <v>Open  ›</v>
      </c>
      <c r="G24" s="5" t="s">
        <v>42</v>
      </c>
    </row>
    <row r="25" customFormat="false" ht="19.5" hidden="false" customHeight="true" outlineLevel="0" collapsed="false">
      <c r="A25" s="8" t="s">
        <v>79</v>
      </c>
      <c r="B25" s="5" t="s">
        <v>80</v>
      </c>
      <c r="C25" s="5" t="s">
        <v>81</v>
      </c>
      <c r="D25" s="5" t="s">
        <v>82</v>
      </c>
      <c r="E25" s="9" t="n">
        <v>10</v>
      </c>
      <c r="F25" s="10" t="str">
        <f aca="false">HYPERLINK("#'CL-13 Clean Agent-CO2'!A1","Open  ›")</f>
        <v>Open  ›</v>
      </c>
      <c r="G25" s="5" t="s">
        <v>42</v>
      </c>
    </row>
    <row r="26" customFormat="false" ht="19.5" hidden="false" customHeight="true" outlineLevel="0" collapsed="false">
      <c r="A26" s="8" t="s">
        <v>83</v>
      </c>
      <c r="B26" s="5" t="s">
        <v>84</v>
      </c>
      <c r="C26" s="5" t="s">
        <v>85</v>
      </c>
      <c r="D26" s="5" t="s">
        <v>86</v>
      </c>
      <c r="E26" s="9" t="n">
        <v>9</v>
      </c>
      <c r="F26" s="10" t="str">
        <f aca="false">HYPERLINK("#'CL-14 Tender DCP Systems'!A1","Open  ›")</f>
        <v>Open  ›</v>
      </c>
      <c r="G26" s="5" t="s">
        <v>42</v>
      </c>
    </row>
    <row r="27" customFormat="false" ht="19.5" hidden="false" customHeight="true" outlineLevel="0" collapsed="false">
      <c r="A27" s="8" t="s">
        <v>87</v>
      </c>
      <c r="B27" s="5" t="s">
        <v>88</v>
      </c>
      <c r="C27" s="5" t="s">
        <v>89</v>
      </c>
      <c r="D27" s="5" t="s">
        <v>90</v>
      </c>
      <c r="E27" s="9" t="n">
        <v>7</v>
      </c>
      <c r="F27" s="10" t="str">
        <f aca="false">HYPERLINK("#'CL-15 Isolation Valves'!A1","Open  ›")</f>
        <v>Open  ›</v>
      </c>
      <c r="G27" s="5" t="s">
        <v>42</v>
      </c>
    </row>
    <row r="28" customFormat="false" ht="19.5" hidden="false" customHeight="true" outlineLevel="0" collapsed="false">
      <c r="A28" s="8" t="s">
        <v>91</v>
      </c>
      <c r="B28" s="5" t="s">
        <v>92</v>
      </c>
      <c r="C28" s="5" t="s">
        <v>93</v>
      </c>
      <c r="D28" s="5" t="s">
        <v>94</v>
      </c>
      <c r="E28" s="9" t="n">
        <v>6</v>
      </c>
      <c r="F28" s="10" t="str">
        <f aca="false">HYPERLINK("#'CL-16 FW Tank Cleaning'!A1","Open  ›")</f>
        <v>Open  ›</v>
      </c>
      <c r="G28" s="5" t="s">
        <v>42</v>
      </c>
    </row>
    <row r="29" customFormat="false" ht="19.5" hidden="false" customHeight="true" outlineLevel="0" collapsed="false">
      <c r="A29" s="8" t="s">
        <v>95</v>
      </c>
      <c r="B29" s="5" t="s">
        <v>96</v>
      </c>
      <c r="C29" s="5" t="s">
        <v>97</v>
      </c>
      <c r="D29" s="5" t="s">
        <v>98</v>
      </c>
      <c r="E29" s="9" t="n">
        <v>5</v>
      </c>
      <c r="F29" s="10" t="str">
        <f aca="false">HYPERLINK("#'CL-17 Buckets &amp; Stands'!A1","Open  ›")</f>
        <v>Open  ›</v>
      </c>
      <c r="G29" s="5" t="s">
        <v>42</v>
      </c>
    </row>
    <row r="30" customFormat="false" ht="19.5" hidden="false" customHeight="true" outlineLevel="0" collapsed="false">
      <c r="A30" s="8" t="s">
        <v>99</v>
      </c>
      <c r="B30" s="5" t="s">
        <v>100</v>
      </c>
      <c r="C30" s="5" t="s">
        <v>101</v>
      </c>
      <c r="D30" s="5" t="s">
        <v>102</v>
      </c>
      <c r="E30" s="9" t="n">
        <v>7</v>
      </c>
      <c r="F30" s="10" t="str">
        <f aca="false">HYPERLINK("#'CL-18 Detection &amp; Alarm'!A1","Open  ›")</f>
        <v>Open  ›</v>
      </c>
      <c r="G30" s="5" t="s">
        <v>42</v>
      </c>
    </row>
    <row r="31" customFormat="false" ht="19.5" hidden="false" customHeight="true" outlineLevel="0" collapsed="false">
      <c r="A31" s="8" t="s">
        <v>103</v>
      </c>
      <c r="B31" s="5" t="s">
        <v>104</v>
      </c>
      <c r="C31" s="5" t="s">
        <v>105</v>
      </c>
      <c r="D31" s="5" t="s">
        <v>106</v>
      </c>
      <c r="E31" s="9" t="n">
        <v>4</v>
      </c>
      <c r="F31" s="10" t="str">
        <f aca="false">HYPERLINK("#'CL-19 Inline Inductors'!A1","Open  ›")</f>
        <v>Open  ›</v>
      </c>
      <c r="G31" s="5" t="s">
        <v>42</v>
      </c>
    </row>
    <row r="32" customFormat="false" ht="19.5" hidden="false" customHeight="true" outlineLevel="0" collapsed="false">
      <c r="A32" s="8" t="s">
        <v>107</v>
      </c>
      <c r="B32" s="5" t="s">
        <v>108</v>
      </c>
      <c r="C32" s="5" t="s">
        <v>109</v>
      </c>
      <c r="D32" s="5" t="s">
        <v>110</v>
      </c>
      <c r="E32" s="9" t="n">
        <v>7</v>
      </c>
      <c r="F32" s="10" t="str">
        <f aca="false">HYPERLINK("#'CL-20 Vehicle Tank Cleaning'!A1","Open  ›")</f>
        <v>Open  ›</v>
      </c>
      <c r="G32" s="5" t="s">
        <v>42</v>
      </c>
    </row>
    <row r="33" customFormat="false" ht="19.5" hidden="false" customHeight="true" outlineLevel="0" collapsed="false">
      <c r="A33" s="8" t="s">
        <v>111</v>
      </c>
      <c r="B33" s="5" t="s">
        <v>112</v>
      </c>
      <c r="C33" s="5" t="s">
        <v>113</v>
      </c>
      <c r="D33" s="5" t="s">
        <v>114</v>
      </c>
      <c r="E33" s="9" t="n">
        <v>6</v>
      </c>
      <c r="F33" s="10" t="str">
        <f aca="false">HYPERLINK("#'CL-21 OH Foam Tank Cleaning'!A1","Open  ›")</f>
        <v>Open  ›</v>
      </c>
      <c r="G33" s="5" t="s">
        <v>42</v>
      </c>
    </row>
    <row r="34" customFormat="false" ht="19.5" hidden="false" customHeight="true" outlineLevel="0" collapsed="false">
      <c r="A34" s="8" t="s">
        <v>115</v>
      </c>
      <c r="B34" s="5" t="s">
        <v>116</v>
      </c>
      <c r="C34" s="5" t="s">
        <v>117</v>
      </c>
      <c r="D34" s="5" t="s">
        <v>118</v>
      </c>
      <c r="E34" s="9" t="n">
        <v>7</v>
      </c>
      <c r="F34" s="10" t="str">
        <f aca="false">HYPERLINK("#'CL-22 CA Foam-Mist Ext'!A1","Open  ›")</f>
        <v>Open  ›</v>
      </c>
      <c r="G34" s="5" t="s">
        <v>42</v>
      </c>
    </row>
    <row r="35" customFormat="false" ht="19.5" hidden="false" customHeight="true" outlineLevel="0" collapsed="false">
      <c r="A35" s="8" t="s">
        <v>119</v>
      </c>
      <c r="B35" s="5" t="s">
        <v>120</v>
      </c>
      <c r="C35" s="5" t="s">
        <v>121</v>
      </c>
      <c r="D35" s="5" t="s">
        <v>122</v>
      </c>
      <c r="E35" s="9" t="n">
        <v>7</v>
      </c>
      <c r="F35" s="10" t="str">
        <f aca="false">HYPERLINK("#'CL-23 Air Compressors'!A1","Open  ›")</f>
        <v>Open  ›</v>
      </c>
      <c r="G35" s="5" t="s">
        <v>42</v>
      </c>
    </row>
    <row r="36" customFormat="false" ht="19.5" hidden="false" customHeight="true" outlineLevel="0" collapsed="false">
      <c r="A36" s="8" t="s">
        <v>123</v>
      </c>
      <c r="B36" s="5" t="s">
        <v>124</v>
      </c>
      <c r="C36" s="5" t="s">
        <v>125</v>
      </c>
      <c r="D36" s="5" t="s">
        <v>126</v>
      </c>
      <c r="E36" s="9" t="n">
        <v>5</v>
      </c>
      <c r="F36" s="10" t="str">
        <f aca="false">HYPERLINK("#'CL-24 Weighing M-c Calib'!A1","Open  ›")</f>
        <v>Open  ›</v>
      </c>
      <c r="G36" s="5" t="s">
        <v>42</v>
      </c>
    </row>
    <row r="37" customFormat="false" ht="19.5" hidden="false" customHeight="true" outlineLevel="0" collapsed="false">
      <c r="A37" s="8" t="s">
        <v>127</v>
      </c>
      <c r="B37" s="5" t="s">
        <v>128</v>
      </c>
      <c r="C37" s="5" t="s">
        <v>129</v>
      </c>
      <c r="D37" s="5" t="s">
        <v>130</v>
      </c>
      <c r="E37" s="9" t="n">
        <v>4</v>
      </c>
      <c r="F37" s="10" t="str">
        <f aca="false">HYPERLINK("#'CL-25 Digital Level Calib'!A1","Open  ›")</f>
        <v>Open  ›</v>
      </c>
      <c r="G37" s="5" t="s">
        <v>42</v>
      </c>
    </row>
    <row r="38" customFormat="false" ht="19.5" hidden="false" customHeight="true" outlineLevel="0" collapsed="false">
      <c r="A38" s="8" t="s">
        <v>131</v>
      </c>
      <c r="B38" s="5" t="s">
        <v>132</v>
      </c>
      <c r="C38" s="5" t="s">
        <v>133</v>
      </c>
      <c r="D38" s="5" t="s">
        <v>134</v>
      </c>
      <c r="E38" s="9" t="n">
        <v>4</v>
      </c>
      <c r="F38" s="10" t="str">
        <f aca="false">HYPERLINK("#'CL-26 Ext Hanging-Mounting'!A1","Open  ›")</f>
        <v>Open  ›</v>
      </c>
      <c r="G38" s="5" t="s">
        <v>135</v>
      </c>
    </row>
    <row r="40" customFormat="false" ht="15" hidden="false" customHeight="true" outlineLevel="0" collapsed="false">
      <c r="A40" s="11" t="s">
        <v>136</v>
      </c>
      <c r="B40" s="11"/>
      <c r="C40" s="11"/>
      <c r="D40" s="11"/>
      <c r="E40" s="11"/>
      <c r="F40" s="11"/>
      <c r="G40" s="11"/>
    </row>
    <row r="41" customFormat="false" ht="30" hidden="false" customHeight="true" outlineLevel="0" collapsed="false">
      <c r="A41" s="5" t="s">
        <v>137</v>
      </c>
      <c r="B41" s="5"/>
      <c r="C41" s="5"/>
      <c r="D41" s="5"/>
      <c r="E41" s="5"/>
      <c r="F41" s="5"/>
      <c r="G41" s="5"/>
    </row>
    <row r="42" customFormat="false" ht="30" hidden="false" customHeight="true" outlineLevel="0" collapsed="false">
      <c r="A42" s="5" t="s">
        <v>138</v>
      </c>
      <c r="B42" s="5"/>
      <c r="C42" s="5"/>
      <c r="D42" s="5"/>
      <c r="E42" s="5"/>
      <c r="F42" s="5"/>
      <c r="G42" s="5"/>
    </row>
    <row r="43" customFormat="false" ht="30" hidden="false" customHeight="true" outlineLevel="0" collapsed="false">
      <c r="A43" s="5" t="s">
        <v>139</v>
      </c>
      <c r="B43" s="5"/>
      <c r="C43" s="5"/>
      <c r="D43" s="5"/>
      <c r="E43" s="5"/>
      <c r="F43" s="5"/>
      <c r="G43" s="5"/>
    </row>
    <row r="44" customFormat="false" ht="30" hidden="false" customHeight="true" outlineLevel="0" collapsed="false">
      <c r="A44" s="5" t="s">
        <v>140</v>
      </c>
      <c r="B44" s="5"/>
      <c r="C44" s="5"/>
      <c r="D44" s="5"/>
      <c r="E44" s="5"/>
      <c r="F44" s="5"/>
      <c r="G44" s="5"/>
    </row>
    <row r="45" customFormat="false" ht="30" hidden="false" customHeight="true" outlineLevel="0" collapsed="false">
      <c r="A45" s="5" t="s">
        <v>141</v>
      </c>
      <c r="B45" s="5"/>
      <c r="C45" s="5"/>
      <c r="D45" s="5"/>
      <c r="E45" s="5"/>
      <c r="F45" s="5"/>
      <c r="G45" s="5"/>
    </row>
    <row r="46" customFormat="false" ht="30" hidden="false" customHeight="true" outlineLevel="0" collapsed="false">
      <c r="A46" s="5" t="s">
        <v>142</v>
      </c>
      <c r="B46" s="5"/>
      <c r="C46" s="5"/>
      <c r="D46" s="5"/>
      <c r="E46" s="5"/>
      <c r="F46" s="5"/>
      <c r="G46" s="5"/>
    </row>
  </sheetData>
  <mergeCells count="23">
    <mergeCell ref="A1:G1"/>
    <mergeCell ref="A2:G2"/>
    <mergeCell ref="A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G10"/>
    <mergeCell ref="A40:G40"/>
    <mergeCell ref="A41:G41"/>
    <mergeCell ref="A42:G42"/>
    <mergeCell ref="A43:G43"/>
    <mergeCell ref="A44:G44"/>
    <mergeCell ref="A45:G45"/>
    <mergeCell ref="A46:G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80"/>
  </cols>
  <sheetData>
    <row r="1" customFormat="false" ht="24" hidden="false" customHeight="true" outlineLevel="0" collapsed="false">
      <c r="A1" s="3" t="s">
        <v>143</v>
      </c>
      <c r="B1" s="3"/>
      <c r="C1" s="3"/>
      <c r="D1" s="3"/>
    </row>
    <row r="2" customFormat="false" ht="25.5" hidden="false" customHeight="true" outlineLevel="0" collapsed="false">
      <c r="A2" s="6" t="s">
        <v>144</v>
      </c>
      <c r="B2" s="6"/>
      <c r="C2" s="6"/>
      <c r="D2" s="6"/>
    </row>
    <row r="4" customFormat="false" ht="15" hidden="false" customHeight="false" outlineLevel="0" collapsed="false">
      <c r="A4" s="7" t="s">
        <v>145</v>
      </c>
      <c r="B4" s="7" t="s">
        <v>146</v>
      </c>
      <c r="C4" s="7" t="s">
        <v>147</v>
      </c>
      <c r="D4" s="7" t="s">
        <v>148</v>
      </c>
    </row>
    <row r="5" customFormat="false" ht="27.75" hidden="false" customHeight="true" outlineLevel="0" collapsed="false">
      <c r="A5" s="5" t="s">
        <v>149</v>
      </c>
      <c r="B5" s="5" t="s">
        <v>150</v>
      </c>
      <c r="C5" s="12" t="s">
        <v>151</v>
      </c>
      <c r="D5" s="5" t="s">
        <v>152</v>
      </c>
    </row>
    <row r="6" customFormat="false" ht="27.75" hidden="false" customHeight="true" outlineLevel="0" collapsed="false">
      <c r="A6" s="5" t="s">
        <v>153</v>
      </c>
      <c r="B6" s="5" t="s">
        <v>150</v>
      </c>
      <c r="C6" s="12" t="s">
        <v>154</v>
      </c>
      <c r="D6" s="5" t="s">
        <v>155</v>
      </c>
    </row>
    <row r="7" customFormat="false" ht="18" hidden="false" customHeight="true" outlineLevel="0" collapsed="false">
      <c r="A7" s="5" t="s">
        <v>156</v>
      </c>
      <c r="B7" s="5" t="s">
        <v>150</v>
      </c>
      <c r="C7" s="12" t="s">
        <v>28</v>
      </c>
      <c r="D7" s="5" t="s">
        <v>157</v>
      </c>
    </row>
    <row r="8" customFormat="false" ht="18" hidden="false" customHeight="true" outlineLevel="0" collapsed="false">
      <c r="A8" s="5" t="s">
        <v>158</v>
      </c>
      <c r="B8" s="5" t="s">
        <v>150</v>
      </c>
      <c r="C8" s="12" t="s">
        <v>28</v>
      </c>
      <c r="D8" s="5" t="s">
        <v>159</v>
      </c>
    </row>
    <row r="9" customFormat="false" ht="27.75" hidden="false" customHeight="true" outlineLevel="0" collapsed="false">
      <c r="A9" s="5" t="s">
        <v>160</v>
      </c>
      <c r="B9" s="5" t="s">
        <v>150</v>
      </c>
      <c r="C9" s="13" t="s">
        <v>161</v>
      </c>
      <c r="D9" s="5" t="s">
        <v>162</v>
      </c>
    </row>
    <row r="10" customFormat="false" ht="18" hidden="false" customHeight="true" outlineLevel="0" collapsed="false">
      <c r="A10" s="5" t="s">
        <v>163</v>
      </c>
      <c r="B10" s="5" t="s">
        <v>150</v>
      </c>
      <c r="C10" s="13" t="s">
        <v>161</v>
      </c>
      <c r="D10" s="5" t="s">
        <v>164</v>
      </c>
    </row>
    <row r="11" customFormat="false" ht="18" hidden="false" customHeight="true" outlineLevel="0" collapsed="false">
      <c r="A11" s="5" t="s">
        <v>165</v>
      </c>
      <c r="B11" s="5" t="s">
        <v>150</v>
      </c>
      <c r="C11" s="12" t="s">
        <v>43</v>
      </c>
      <c r="D11" s="5" t="s">
        <v>166</v>
      </c>
    </row>
    <row r="12" customFormat="false" ht="18" hidden="false" customHeight="true" outlineLevel="0" collapsed="false">
      <c r="A12" s="5" t="s">
        <v>167</v>
      </c>
      <c r="B12" s="5" t="s">
        <v>168</v>
      </c>
      <c r="C12" s="12" t="s">
        <v>43</v>
      </c>
      <c r="D12" s="5" t="s">
        <v>169</v>
      </c>
    </row>
    <row r="13" customFormat="false" ht="18" hidden="false" customHeight="true" outlineLevel="0" collapsed="false">
      <c r="A13" s="5" t="s">
        <v>65</v>
      </c>
      <c r="B13" s="5" t="s">
        <v>150</v>
      </c>
      <c r="C13" s="12" t="s">
        <v>61</v>
      </c>
      <c r="D13" s="5" t="s">
        <v>170</v>
      </c>
    </row>
    <row r="14" customFormat="false" ht="18" hidden="false" customHeight="true" outlineLevel="0" collapsed="false">
      <c r="A14" s="5" t="s">
        <v>52</v>
      </c>
      <c r="B14" s="5" t="s">
        <v>150</v>
      </c>
      <c r="C14" s="12" t="s">
        <v>48</v>
      </c>
      <c r="D14" s="5" t="s">
        <v>171</v>
      </c>
    </row>
    <row r="15" customFormat="false" ht="39.75" hidden="false" customHeight="true" outlineLevel="0" collapsed="false">
      <c r="A15" s="5" t="s">
        <v>172</v>
      </c>
      <c r="B15" s="5" t="s">
        <v>150</v>
      </c>
      <c r="C15" s="12" t="s">
        <v>173</v>
      </c>
      <c r="D15" s="5" t="s">
        <v>174</v>
      </c>
    </row>
    <row r="16" customFormat="false" ht="18" hidden="false" customHeight="true" outlineLevel="0" collapsed="false">
      <c r="A16" s="5" t="s">
        <v>175</v>
      </c>
      <c r="B16" s="5" t="s">
        <v>150</v>
      </c>
      <c r="C16" s="12" t="s">
        <v>173</v>
      </c>
      <c r="D16" s="5" t="s">
        <v>176</v>
      </c>
    </row>
    <row r="17" customFormat="false" ht="18" hidden="false" customHeight="true" outlineLevel="0" collapsed="false">
      <c r="A17" s="5" t="s">
        <v>177</v>
      </c>
      <c r="B17" s="5" t="s">
        <v>150</v>
      </c>
      <c r="C17" s="12" t="s">
        <v>173</v>
      </c>
      <c r="D17" s="5" t="s">
        <v>178</v>
      </c>
    </row>
    <row r="18" customFormat="false" ht="27.75" hidden="false" customHeight="true" outlineLevel="0" collapsed="false">
      <c r="A18" s="5" t="s">
        <v>179</v>
      </c>
      <c r="B18" s="5" t="s">
        <v>150</v>
      </c>
      <c r="C18" s="12" t="s">
        <v>180</v>
      </c>
      <c r="D18" s="5" t="s">
        <v>181</v>
      </c>
    </row>
    <row r="19" customFormat="false" ht="18" hidden="false" customHeight="true" outlineLevel="0" collapsed="false">
      <c r="A19" s="5" t="s">
        <v>182</v>
      </c>
      <c r="B19" s="5" t="s">
        <v>150</v>
      </c>
      <c r="C19" s="12" t="s">
        <v>173</v>
      </c>
      <c r="D19" s="5" t="s">
        <v>183</v>
      </c>
    </row>
    <row r="20" customFormat="false" ht="18" hidden="false" customHeight="true" outlineLevel="0" collapsed="false">
      <c r="A20" s="5" t="s">
        <v>184</v>
      </c>
      <c r="B20" s="5" t="s">
        <v>150</v>
      </c>
      <c r="C20" s="13" t="s">
        <v>161</v>
      </c>
      <c r="D20" s="5" t="s">
        <v>185</v>
      </c>
    </row>
    <row r="21" customFormat="false" ht="18" hidden="false" customHeight="true" outlineLevel="0" collapsed="false">
      <c r="A21" s="5" t="s">
        <v>186</v>
      </c>
      <c r="B21" s="5" t="s">
        <v>150</v>
      </c>
      <c r="C21" s="13" t="s">
        <v>161</v>
      </c>
      <c r="D21" s="5" t="s">
        <v>187</v>
      </c>
    </row>
    <row r="22" customFormat="false" ht="18" hidden="false" customHeight="true" outlineLevel="0" collapsed="false">
      <c r="A22" s="5" t="s">
        <v>188</v>
      </c>
      <c r="B22" s="5" t="s">
        <v>168</v>
      </c>
      <c r="C22" s="13" t="s">
        <v>161</v>
      </c>
      <c r="D22" s="5" t="s">
        <v>189</v>
      </c>
    </row>
    <row r="23" customFormat="false" ht="18" hidden="false" customHeight="true" outlineLevel="0" collapsed="false">
      <c r="A23" s="5" t="s">
        <v>190</v>
      </c>
      <c r="B23" s="5" t="s">
        <v>168</v>
      </c>
      <c r="C23" s="13" t="s">
        <v>161</v>
      </c>
      <c r="D23" s="5" t="s">
        <v>185</v>
      </c>
    </row>
    <row r="24" customFormat="false" ht="18" hidden="false" customHeight="true" outlineLevel="0" collapsed="false">
      <c r="A24" s="5" t="s">
        <v>191</v>
      </c>
      <c r="B24" s="5" t="s">
        <v>150</v>
      </c>
      <c r="C24" s="13" t="s">
        <v>161</v>
      </c>
      <c r="D24" s="5" t="s">
        <v>192</v>
      </c>
    </row>
    <row r="25" customFormat="false" ht="18" hidden="false" customHeight="true" outlineLevel="0" collapsed="false">
      <c r="A25" s="5" t="s">
        <v>193</v>
      </c>
      <c r="B25" s="5" t="s">
        <v>150</v>
      </c>
      <c r="C25" s="12" t="s">
        <v>194</v>
      </c>
      <c r="D25" s="5" t="s">
        <v>195</v>
      </c>
    </row>
    <row r="27" customFormat="false" ht="27.75" hidden="false" customHeight="true" outlineLevel="0" collapsed="false">
      <c r="A27" s="6" t="s">
        <v>196</v>
      </c>
      <c r="B27" s="6"/>
      <c r="C27" s="6"/>
      <c r="D27" s="6"/>
    </row>
  </sheetData>
  <mergeCells count="3">
    <mergeCell ref="A1:D1"/>
    <mergeCell ref="A2:D2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O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4" min="5" style="0" width="17"/>
    <col collapsed="false" customWidth="true" hidden="false" outlineLevel="0" max="15" min="15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3.5" hidden="false" customHeight="true" outlineLevel="0" collapsed="false">
      <c r="A3" s="15" t="s">
        <v>17</v>
      </c>
      <c r="B3" s="15"/>
      <c r="C3" s="15"/>
      <c r="D3" s="15" t="s">
        <v>197</v>
      </c>
      <c r="E3" s="15"/>
      <c r="F3" s="15"/>
      <c r="G3" s="15" t="s">
        <v>5</v>
      </c>
      <c r="H3" s="15"/>
      <c r="I3" s="15"/>
      <c r="J3" s="15" t="s">
        <v>7</v>
      </c>
      <c r="K3" s="15"/>
      <c r="L3" s="15"/>
      <c r="M3" s="15" t="s">
        <v>198</v>
      </c>
      <c r="N3" s="15"/>
      <c r="O3" s="15"/>
    </row>
    <row r="4" customFormat="false" ht="18" hidden="false" customHeight="true" outlineLevel="0" collapsed="false">
      <c r="A4" s="8" t="s">
        <v>24</v>
      </c>
      <c r="B4" s="8"/>
      <c r="C4" s="8"/>
      <c r="D4" s="8" t="s">
        <v>25</v>
      </c>
      <c r="E4" s="8"/>
      <c r="F4" s="8"/>
      <c r="G4" s="8" t="s">
        <v>6</v>
      </c>
      <c r="H4" s="8"/>
      <c r="I4" s="8"/>
      <c r="J4" s="8" t="s">
        <v>199</v>
      </c>
      <c r="K4" s="8"/>
      <c r="L4" s="8"/>
      <c r="M4" s="8" t="s">
        <v>200</v>
      </c>
      <c r="N4" s="8"/>
      <c r="O4" s="8"/>
    </row>
    <row r="5" customFormat="false" ht="24" hidden="false" customHeight="true" outlineLevel="0" collapsed="false">
      <c r="A5" s="3" t="s">
        <v>201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16"/>
      <c r="H7" s="16"/>
      <c r="I7" s="4" t="s">
        <v>204</v>
      </c>
      <c r="J7" s="4"/>
      <c r="K7" s="16" t="s">
        <v>205</v>
      </c>
      <c r="L7" s="16"/>
      <c r="M7" s="16"/>
      <c r="N7" s="16"/>
      <c r="O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16"/>
      <c r="H8" s="16"/>
      <c r="I8" s="4" t="s">
        <v>207</v>
      </c>
      <c r="J8" s="4"/>
      <c r="K8" s="16"/>
      <c r="L8" s="16"/>
      <c r="M8" s="16"/>
      <c r="N8" s="16"/>
      <c r="O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16"/>
      <c r="H9" s="16"/>
      <c r="I9" s="4" t="s">
        <v>209</v>
      </c>
      <c r="J9" s="4"/>
      <c r="K9" s="16"/>
      <c r="L9" s="16"/>
      <c r="M9" s="16"/>
      <c r="N9" s="16"/>
      <c r="O9" s="16"/>
    </row>
    <row r="10" customFormat="false" ht="25.5" hidden="false" customHeight="true" outlineLevel="0" collapsed="false">
      <c r="A10" s="17" t="s">
        <v>210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7" t="s">
        <v>222</v>
      </c>
      <c r="M11" s="7" t="s">
        <v>223</v>
      </c>
      <c r="N11" s="7" t="s">
        <v>224</v>
      </c>
      <c r="O11" s="18" t="s">
        <v>225</v>
      </c>
    </row>
    <row r="12" customFormat="false" ht="66" hidden="false" customHeight="true" outlineLevel="0" collapsed="false">
      <c r="A12" s="18"/>
      <c r="B12" s="18"/>
      <c r="C12" s="18"/>
      <c r="D12" s="18"/>
      <c r="E12" s="19" t="s">
        <v>226</v>
      </c>
      <c r="F12" s="19" t="s">
        <v>227</v>
      </c>
      <c r="G12" s="19" t="s">
        <v>228</v>
      </c>
      <c r="H12" s="19" t="s">
        <v>229</v>
      </c>
      <c r="I12" s="19" t="s">
        <v>230</v>
      </c>
      <c r="J12" s="19" t="s">
        <v>231</v>
      </c>
      <c r="K12" s="19" t="s">
        <v>232</v>
      </c>
      <c r="L12" s="19" t="s">
        <v>233</v>
      </c>
      <c r="M12" s="19" t="s">
        <v>234</v>
      </c>
      <c r="N12" s="19" t="s">
        <v>235</v>
      </c>
      <c r="O12" s="18"/>
    </row>
    <row r="13" customFormat="false" ht="27.75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236</v>
      </c>
      <c r="H13" s="20" t="s">
        <v>236</v>
      </c>
      <c r="I13" s="20" t="s">
        <v>237</v>
      </c>
      <c r="J13" s="20" t="s">
        <v>237</v>
      </c>
      <c r="K13" s="20" t="s">
        <v>237</v>
      </c>
      <c r="L13" s="20" t="s">
        <v>236</v>
      </c>
      <c r="M13" s="20" t="s">
        <v>238</v>
      </c>
      <c r="N13" s="20" t="s">
        <v>236</v>
      </c>
      <c r="O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9"/>
      <c r="M14" s="9"/>
      <c r="N14" s="9"/>
      <c r="O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9"/>
      <c r="M15" s="9"/>
      <c r="N15" s="9"/>
      <c r="O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9"/>
      <c r="M16" s="9"/>
      <c r="N16" s="9"/>
      <c r="O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9"/>
      <c r="M17" s="9"/>
      <c r="N17" s="9"/>
      <c r="O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9"/>
      <c r="M18" s="9"/>
      <c r="N18" s="9"/>
      <c r="O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9"/>
      <c r="M19" s="9"/>
      <c r="N19" s="9"/>
      <c r="O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9"/>
      <c r="M20" s="9"/>
      <c r="N20" s="9"/>
      <c r="O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9"/>
      <c r="M21" s="9"/>
      <c r="N21" s="9"/>
      <c r="O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9"/>
      <c r="M22" s="9"/>
      <c r="N22" s="9"/>
      <c r="O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9"/>
      <c r="M23" s="9"/>
      <c r="N23" s="9"/>
      <c r="O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9"/>
      <c r="M24" s="9"/>
      <c r="N24" s="9"/>
      <c r="O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9"/>
      <c r="M25" s="9"/>
      <c r="N25" s="9"/>
      <c r="O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9"/>
      <c r="M26" s="9"/>
      <c r="N26" s="9"/>
      <c r="O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9"/>
      <c r="M27" s="9"/>
      <c r="N27" s="9"/>
      <c r="O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9"/>
      <c r="M28" s="9"/>
      <c r="N28" s="9"/>
      <c r="O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9"/>
      <c r="M29" s="9"/>
      <c r="N29" s="9"/>
      <c r="O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9"/>
      <c r="M30" s="9"/>
      <c r="N30" s="9"/>
      <c r="O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9"/>
      <c r="M31" s="9"/>
      <c r="N31" s="9"/>
      <c r="O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9"/>
      <c r="M32" s="9"/>
      <c r="N32" s="9"/>
      <c r="O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9"/>
      <c r="M33" s="9"/>
      <c r="N33" s="9"/>
      <c r="O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9"/>
      <c r="M34" s="9"/>
      <c r="N34" s="9"/>
      <c r="O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9"/>
      <c r="M35" s="9"/>
      <c r="N35" s="9"/>
      <c r="O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9"/>
      <c r="M36" s="9"/>
      <c r="N36" s="9"/>
      <c r="O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9"/>
      <c r="M37" s="9"/>
      <c r="N37" s="9"/>
      <c r="O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9"/>
      <c r="M38" s="9"/>
      <c r="N38" s="9"/>
      <c r="O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8" t="n">
        <f aca="false">COUNTIF(L14:L38,"√")</f>
        <v>0</v>
      </c>
      <c r="M40" s="8" t="n">
        <f aca="false">COUNTIF(M14:M38,"√")</f>
        <v>0</v>
      </c>
      <c r="N40" s="8" t="n">
        <f aca="false">COUNTIF(N14:N38,"√")</f>
        <v>0</v>
      </c>
      <c r="O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8" t="n">
        <f aca="false">COUNTIF(L14:L38,"X")</f>
        <v>0</v>
      </c>
      <c r="M41" s="8" t="n">
        <f aca="false">COUNTIF(M14:M38,"X")</f>
        <v>0</v>
      </c>
      <c r="N41" s="8" t="n">
        <f aca="false">COUNTIF(N14:N38,"X")</f>
        <v>0</v>
      </c>
      <c r="O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8" t="n">
        <f aca="false">COUNTIF(L14:L38,"NA")</f>
        <v>0</v>
      </c>
      <c r="M42" s="8" t="n">
        <f aca="false">COUNTIF(M14:M38,"NA")</f>
        <v>0</v>
      </c>
      <c r="N42" s="8" t="n">
        <f aca="false">COUNTIF(N14:N38,"NA")</f>
        <v>0</v>
      </c>
      <c r="O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</row>
    <row r="49" customFormat="false" ht="15" hidden="false" customHeight="true" outlineLevel="0" collapsed="false">
      <c r="A49" s="4" t="s">
        <v>244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customFormat="false" ht="15" hidden="false" customHeight="true" outlineLevel="0" collapsed="false">
      <c r="A50" s="24" t="s">
        <v>245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customFormat="false" ht="15" hidden="false" customHeight="true" outlineLevel="0" collapsed="false">
      <c r="A51" s="24" t="s">
        <v>246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customFormat="false" ht="15" hidden="false" customHeight="true" outlineLevel="0" collapsed="false">
      <c r="A52" s="24" t="s">
        <v>247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customFormat="false" ht="15" hidden="false" customHeight="true" outlineLevel="0" collapsed="false">
      <c r="A53" s="24" t="s">
        <v>248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5" customFormat="false" ht="15" hidden="false" customHeight="true" outlineLevel="0" collapsed="false">
      <c r="A55" s="18" t="s">
        <v>249</v>
      </c>
      <c r="B55" s="18"/>
      <c r="C55" s="18"/>
      <c r="D55" s="18"/>
      <c r="E55" s="18"/>
      <c r="F55" s="18" t="s">
        <v>250</v>
      </c>
      <c r="G55" s="18"/>
      <c r="H55" s="18"/>
      <c r="I55" s="18"/>
      <c r="J55" s="18"/>
      <c r="K55" s="18" t="s">
        <v>251</v>
      </c>
      <c r="L55" s="18"/>
      <c r="M55" s="18"/>
      <c r="N55" s="18"/>
      <c r="O55" s="18"/>
    </row>
    <row r="56" customFormat="false" ht="21.75" hidden="false" customHeight="true" outlineLevel="0" collapsed="false">
      <c r="A56" s="5" t="s">
        <v>252</v>
      </c>
      <c r="B56" s="5"/>
      <c r="C56" s="5"/>
      <c r="D56" s="5"/>
      <c r="E56" s="5"/>
      <c r="F56" s="5" t="s">
        <v>252</v>
      </c>
      <c r="G56" s="5"/>
      <c r="H56" s="5"/>
      <c r="I56" s="5"/>
      <c r="J56" s="5"/>
      <c r="K56" s="5" t="s">
        <v>252</v>
      </c>
      <c r="L56" s="5"/>
      <c r="M56" s="5"/>
      <c r="N56" s="5"/>
      <c r="O56" s="5"/>
    </row>
    <row r="57" customFormat="false" ht="21.75" hidden="false" customHeight="true" outlineLevel="0" collapsed="false">
      <c r="A57" s="5" t="s">
        <v>253</v>
      </c>
      <c r="B57" s="5"/>
      <c r="C57" s="5"/>
      <c r="D57" s="5"/>
      <c r="E57" s="5"/>
      <c r="F57" s="5" t="s">
        <v>253</v>
      </c>
      <c r="G57" s="5"/>
      <c r="H57" s="5"/>
      <c r="I57" s="5"/>
      <c r="J57" s="5"/>
      <c r="K57" s="5" t="s">
        <v>253</v>
      </c>
      <c r="L57" s="5"/>
      <c r="M57" s="5"/>
      <c r="N57" s="5"/>
      <c r="O57" s="5"/>
    </row>
    <row r="58" customFormat="false" ht="21.75" hidden="false" customHeight="true" outlineLevel="0" collapsed="false">
      <c r="A58" s="5" t="s">
        <v>254</v>
      </c>
      <c r="B58" s="5"/>
      <c r="C58" s="5"/>
      <c r="D58" s="5"/>
      <c r="E58" s="5"/>
      <c r="F58" s="5" t="s">
        <v>254</v>
      </c>
      <c r="G58" s="5"/>
      <c r="H58" s="5"/>
      <c r="I58" s="5"/>
      <c r="J58" s="5"/>
      <c r="K58" s="5" t="s">
        <v>254</v>
      </c>
      <c r="L58" s="5"/>
      <c r="M58" s="5"/>
      <c r="N58" s="5"/>
      <c r="O58" s="5"/>
    </row>
    <row r="59" customFormat="false" ht="25.5" hidden="false" customHeight="true" outlineLevel="0" collapsed="false">
      <c r="A59" s="25" t="s">
        <v>255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</sheetData>
  <mergeCells count="58">
    <mergeCell ref="A1:O1"/>
    <mergeCell ref="A2:O2"/>
    <mergeCell ref="A3:C3"/>
    <mergeCell ref="D3:F3"/>
    <mergeCell ref="G3:I3"/>
    <mergeCell ref="J3:L3"/>
    <mergeCell ref="M3:O3"/>
    <mergeCell ref="A4:C4"/>
    <mergeCell ref="D4:F4"/>
    <mergeCell ref="G4:I4"/>
    <mergeCell ref="J4:L4"/>
    <mergeCell ref="M4:O4"/>
    <mergeCell ref="A5:O5"/>
    <mergeCell ref="A6:C6"/>
    <mergeCell ref="D6:O6"/>
    <mergeCell ref="A7:C7"/>
    <mergeCell ref="D7:H7"/>
    <mergeCell ref="I7:J7"/>
    <mergeCell ref="K7:O7"/>
    <mergeCell ref="A8:C8"/>
    <mergeCell ref="D8:H8"/>
    <mergeCell ref="I8:J8"/>
    <mergeCell ref="K8:O8"/>
    <mergeCell ref="A9:C9"/>
    <mergeCell ref="D9:H9"/>
    <mergeCell ref="I9:J9"/>
    <mergeCell ref="K9:O9"/>
    <mergeCell ref="A10:O10"/>
    <mergeCell ref="A11:A13"/>
    <mergeCell ref="B11:B13"/>
    <mergeCell ref="C11:C13"/>
    <mergeCell ref="D11:D13"/>
    <mergeCell ref="O11:O13"/>
    <mergeCell ref="A39:D39"/>
    <mergeCell ref="E39:O39"/>
    <mergeCell ref="A40:D40"/>
    <mergeCell ref="A41:D41"/>
    <mergeCell ref="A42:D42"/>
    <mergeCell ref="A44:O44"/>
    <mergeCell ref="A45:O47"/>
    <mergeCell ref="A49:O49"/>
    <mergeCell ref="A50:O50"/>
    <mergeCell ref="A51:O51"/>
    <mergeCell ref="A52:O52"/>
    <mergeCell ref="A53:O53"/>
    <mergeCell ref="A55:E55"/>
    <mergeCell ref="F55:J55"/>
    <mergeCell ref="K55:O55"/>
    <mergeCell ref="A56:E56"/>
    <mergeCell ref="F56:J56"/>
    <mergeCell ref="K56:O56"/>
    <mergeCell ref="A57:E57"/>
    <mergeCell ref="F57:J57"/>
    <mergeCell ref="K57:O57"/>
    <mergeCell ref="A58:E58"/>
    <mergeCell ref="F58:J58"/>
    <mergeCell ref="K58:O58"/>
    <mergeCell ref="A59:O59"/>
  </mergeCells>
  <conditionalFormatting sqref="E14:N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N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IFSPL/M/CL/001  |  Rev 00  |  Ref: IFSPL/M/SOP/001&amp;C&amp;8 Indus Fire Safety Private Limited – Control Copy&amp;R&amp;8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O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4" min="5" style="0" width="17"/>
    <col collapsed="false" customWidth="true" hidden="false" outlineLevel="0" max="15" min="15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3.5" hidden="false" customHeight="true" outlineLevel="0" collapsed="false">
      <c r="A3" s="15" t="s">
        <v>17</v>
      </c>
      <c r="B3" s="15"/>
      <c r="C3" s="15"/>
      <c r="D3" s="15" t="s">
        <v>197</v>
      </c>
      <c r="E3" s="15"/>
      <c r="F3" s="15"/>
      <c r="G3" s="15" t="s">
        <v>5</v>
      </c>
      <c r="H3" s="15"/>
      <c r="I3" s="15"/>
      <c r="J3" s="15" t="s">
        <v>7</v>
      </c>
      <c r="K3" s="15"/>
      <c r="L3" s="15"/>
      <c r="M3" s="15" t="s">
        <v>198</v>
      </c>
      <c r="N3" s="15"/>
      <c r="O3" s="15"/>
    </row>
    <row r="4" customFormat="false" ht="18" hidden="false" customHeight="true" outlineLevel="0" collapsed="false">
      <c r="A4" s="8" t="s">
        <v>29</v>
      </c>
      <c r="B4" s="8"/>
      <c r="C4" s="8"/>
      <c r="D4" s="8" t="s">
        <v>30</v>
      </c>
      <c r="E4" s="8"/>
      <c r="F4" s="8"/>
      <c r="G4" s="8" t="s">
        <v>6</v>
      </c>
      <c r="H4" s="8"/>
      <c r="I4" s="8"/>
      <c r="J4" s="8" t="s">
        <v>199</v>
      </c>
      <c r="K4" s="8"/>
      <c r="L4" s="8"/>
      <c r="M4" s="8" t="s">
        <v>200</v>
      </c>
      <c r="N4" s="8"/>
      <c r="O4" s="8"/>
    </row>
    <row r="5" customFormat="false" ht="24" hidden="false" customHeight="true" outlineLevel="0" collapsed="false">
      <c r="A5" s="3" t="s">
        <v>256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16"/>
      <c r="H7" s="16"/>
      <c r="I7" s="4" t="s">
        <v>204</v>
      </c>
      <c r="J7" s="4"/>
      <c r="K7" s="16" t="s">
        <v>205</v>
      </c>
      <c r="L7" s="16"/>
      <c r="M7" s="16"/>
      <c r="N7" s="16"/>
      <c r="O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16"/>
      <c r="H8" s="16"/>
      <c r="I8" s="4" t="s">
        <v>207</v>
      </c>
      <c r="J8" s="4"/>
      <c r="K8" s="16"/>
      <c r="L8" s="16"/>
      <c r="M8" s="16"/>
      <c r="N8" s="16"/>
      <c r="O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16"/>
      <c r="H9" s="16"/>
      <c r="I9" s="4" t="s">
        <v>209</v>
      </c>
      <c r="J9" s="4"/>
      <c r="K9" s="16"/>
      <c r="L9" s="16"/>
      <c r="M9" s="16"/>
      <c r="N9" s="16"/>
      <c r="O9" s="16"/>
    </row>
    <row r="10" customFormat="false" ht="25.5" hidden="false" customHeight="true" outlineLevel="0" collapsed="false">
      <c r="A10" s="17" t="s">
        <v>257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7" t="s">
        <v>222</v>
      </c>
      <c r="M11" s="7" t="s">
        <v>223</v>
      </c>
      <c r="N11" s="7" t="s">
        <v>224</v>
      </c>
      <c r="O11" s="18" t="s">
        <v>225</v>
      </c>
    </row>
    <row r="12" customFormat="false" ht="66" hidden="false" customHeight="true" outlineLevel="0" collapsed="false">
      <c r="A12" s="18"/>
      <c r="B12" s="18"/>
      <c r="C12" s="18"/>
      <c r="D12" s="18"/>
      <c r="E12" s="19" t="s">
        <v>258</v>
      </c>
      <c r="F12" s="19" t="s">
        <v>259</v>
      </c>
      <c r="G12" s="19" t="s">
        <v>260</v>
      </c>
      <c r="H12" s="19" t="s">
        <v>261</v>
      </c>
      <c r="I12" s="19" t="s">
        <v>262</v>
      </c>
      <c r="J12" s="19" t="s">
        <v>263</v>
      </c>
      <c r="K12" s="19" t="s">
        <v>264</v>
      </c>
      <c r="L12" s="19" t="s">
        <v>265</v>
      </c>
      <c r="M12" s="19" t="s">
        <v>266</v>
      </c>
      <c r="N12" s="19" t="s">
        <v>267</v>
      </c>
      <c r="O12" s="18"/>
    </row>
    <row r="13" customFormat="false" ht="27.75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236</v>
      </c>
      <c r="H13" s="20" t="s">
        <v>236</v>
      </c>
      <c r="I13" s="20" t="s">
        <v>236</v>
      </c>
      <c r="J13" s="20" t="s">
        <v>236</v>
      </c>
      <c r="K13" s="20" t="s">
        <v>236</v>
      </c>
      <c r="L13" s="20" t="s">
        <v>236</v>
      </c>
      <c r="M13" s="20" t="s">
        <v>238</v>
      </c>
      <c r="N13" s="20" t="s">
        <v>236</v>
      </c>
      <c r="O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9"/>
      <c r="M14" s="9"/>
      <c r="N14" s="9"/>
      <c r="O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9"/>
      <c r="M15" s="9"/>
      <c r="N15" s="9"/>
      <c r="O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9"/>
      <c r="M16" s="9"/>
      <c r="N16" s="9"/>
      <c r="O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9"/>
      <c r="M17" s="9"/>
      <c r="N17" s="9"/>
      <c r="O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9"/>
      <c r="M18" s="9"/>
      <c r="N18" s="9"/>
      <c r="O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9"/>
      <c r="M19" s="9"/>
      <c r="N19" s="9"/>
      <c r="O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9"/>
      <c r="M20" s="9"/>
      <c r="N20" s="9"/>
      <c r="O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9"/>
      <c r="M21" s="9"/>
      <c r="N21" s="9"/>
      <c r="O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9"/>
      <c r="M22" s="9"/>
      <c r="N22" s="9"/>
      <c r="O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9"/>
      <c r="M23" s="9"/>
      <c r="N23" s="9"/>
      <c r="O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9"/>
      <c r="M24" s="9"/>
      <c r="N24" s="9"/>
      <c r="O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9"/>
      <c r="M25" s="9"/>
      <c r="N25" s="9"/>
      <c r="O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9"/>
      <c r="M26" s="9"/>
      <c r="N26" s="9"/>
      <c r="O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9"/>
      <c r="M27" s="9"/>
      <c r="N27" s="9"/>
      <c r="O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9"/>
      <c r="M28" s="9"/>
      <c r="N28" s="9"/>
      <c r="O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9"/>
      <c r="M29" s="9"/>
      <c r="N29" s="9"/>
      <c r="O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9"/>
      <c r="M30" s="9"/>
      <c r="N30" s="9"/>
      <c r="O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9"/>
      <c r="M31" s="9"/>
      <c r="N31" s="9"/>
      <c r="O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9"/>
      <c r="M32" s="9"/>
      <c r="N32" s="9"/>
      <c r="O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9"/>
      <c r="M33" s="9"/>
      <c r="N33" s="9"/>
      <c r="O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9"/>
      <c r="M34" s="9"/>
      <c r="N34" s="9"/>
      <c r="O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9"/>
      <c r="M35" s="9"/>
      <c r="N35" s="9"/>
      <c r="O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9"/>
      <c r="M36" s="9"/>
      <c r="N36" s="9"/>
      <c r="O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9"/>
      <c r="M37" s="9"/>
      <c r="N37" s="9"/>
      <c r="O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9"/>
      <c r="M38" s="9"/>
      <c r="N38" s="9"/>
      <c r="O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8" t="n">
        <f aca="false">COUNTIF(L14:L38,"√")</f>
        <v>0</v>
      </c>
      <c r="M40" s="8" t="n">
        <f aca="false">COUNTIF(M14:M38,"√")</f>
        <v>0</v>
      </c>
      <c r="N40" s="8" t="n">
        <f aca="false">COUNTIF(N14:N38,"√")</f>
        <v>0</v>
      </c>
      <c r="O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8" t="n">
        <f aca="false">COUNTIF(L14:L38,"X")</f>
        <v>0</v>
      </c>
      <c r="M41" s="8" t="n">
        <f aca="false">COUNTIF(M14:M38,"X")</f>
        <v>0</v>
      </c>
      <c r="N41" s="8" t="n">
        <f aca="false">COUNTIF(N14:N38,"X")</f>
        <v>0</v>
      </c>
      <c r="O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8" t="n">
        <f aca="false">COUNTIF(L14:L38,"NA")</f>
        <v>0</v>
      </c>
      <c r="M42" s="8" t="n">
        <f aca="false">COUNTIF(M14:M38,"NA")</f>
        <v>0</v>
      </c>
      <c r="N42" s="8" t="n">
        <f aca="false">COUNTIF(N14:N38,"NA")</f>
        <v>0</v>
      </c>
      <c r="O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</row>
    <row r="49" customFormat="false" ht="15" hidden="false" customHeight="true" outlineLevel="0" collapsed="false">
      <c r="A49" s="4" t="s">
        <v>268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customFormat="false" ht="15" hidden="false" customHeight="true" outlineLevel="0" collapsed="false">
      <c r="A50" s="24" t="s">
        <v>269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customFormat="false" ht="15" hidden="false" customHeight="true" outlineLevel="0" collapsed="false">
      <c r="A51" s="24" t="s">
        <v>270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customFormat="false" ht="15" hidden="false" customHeight="true" outlineLevel="0" collapsed="false">
      <c r="A52" s="24" t="s">
        <v>271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customFormat="false" ht="15" hidden="false" customHeight="true" outlineLevel="0" collapsed="false">
      <c r="A53" s="24" t="s">
        <v>272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customFormat="false" ht="15" hidden="false" customHeight="true" outlineLevel="0" collapsed="false">
      <c r="A54" s="24" t="s">
        <v>273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6" customFormat="false" ht="15" hidden="false" customHeight="true" outlineLevel="0" collapsed="false">
      <c r="A56" s="18" t="s">
        <v>249</v>
      </c>
      <c r="B56" s="18"/>
      <c r="C56" s="18"/>
      <c r="D56" s="18"/>
      <c r="E56" s="18"/>
      <c r="F56" s="18" t="s">
        <v>250</v>
      </c>
      <c r="G56" s="18"/>
      <c r="H56" s="18"/>
      <c r="I56" s="18"/>
      <c r="J56" s="18"/>
      <c r="K56" s="18" t="s">
        <v>251</v>
      </c>
      <c r="L56" s="18"/>
      <c r="M56" s="18"/>
      <c r="N56" s="18"/>
      <c r="O56" s="18"/>
    </row>
    <row r="57" customFormat="false" ht="21.75" hidden="false" customHeight="true" outlineLevel="0" collapsed="false">
      <c r="A57" s="5" t="s">
        <v>252</v>
      </c>
      <c r="B57" s="5"/>
      <c r="C57" s="5"/>
      <c r="D57" s="5"/>
      <c r="E57" s="5"/>
      <c r="F57" s="5" t="s">
        <v>252</v>
      </c>
      <c r="G57" s="5"/>
      <c r="H57" s="5"/>
      <c r="I57" s="5"/>
      <c r="J57" s="5"/>
      <c r="K57" s="5" t="s">
        <v>252</v>
      </c>
      <c r="L57" s="5"/>
      <c r="M57" s="5"/>
      <c r="N57" s="5"/>
      <c r="O57" s="5"/>
    </row>
    <row r="58" customFormat="false" ht="21.75" hidden="false" customHeight="true" outlineLevel="0" collapsed="false">
      <c r="A58" s="5" t="s">
        <v>253</v>
      </c>
      <c r="B58" s="5"/>
      <c r="C58" s="5"/>
      <c r="D58" s="5"/>
      <c r="E58" s="5"/>
      <c r="F58" s="5" t="s">
        <v>253</v>
      </c>
      <c r="G58" s="5"/>
      <c r="H58" s="5"/>
      <c r="I58" s="5"/>
      <c r="J58" s="5"/>
      <c r="K58" s="5" t="s">
        <v>253</v>
      </c>
      <c r="L58" s="5"/>
      <c r="M58" s="5"/>
      <c r="N58" s="5"/>
      <c r="O58" s="5"/>
    </row>
    <row r="59" customFormat="false" ht="21.75" hidden="false" customHeight="true" outlineLevel="0" collapsed="false">
      <c r="A59" s="5" t="s">
        <v>254</v>
      </c>
      <c r="B59" s="5"/>
      <c r="C59" s="5"/>
      <c r="D59" s="5"/>
      <c r="E59" s="5"/>
      <c r="F59" s="5" t="s">
        <v>254</v>
      </c>
      <c r="G59" s="5"/>
      <c r="H59" s="5"/>
      <c r="I59" s="5"/>
      <c r="J59" s="5"/>
      <c r="K59" s="5" t="s">
        <v>254</v>
      </c>
      <c r="L59" s="5"/>
      <c r="M59" s="5"/>
      <c r="N59" s="5"/>
      <c r="O59" s="5"/>
    </row>
    <row r="60" customFormat="false" ht="25.5" hidden="false" customHeight="true" outlineLevel="0" collapsed="false">
      <c r="A60" s="25" t="s">
        <v>255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</sheetData>
  <mergeCells count="59">
    <mergeCell ref="A1:O1"/>
    <mergeCell ref="A2:O2"/>
    <mergeCell ref="A3:C3"/>
    <mergeCell ref="D3:F3"/>
    <mergeCell ref="G3:I3"/>
    <mergeCell ref="J3:L3"/>
    <mergeCell ref="M3:O3"/>
    <mergeCell ref="A4:C4"/>
    <mergeCell ref="D4:F4"/>
    <mergeCell ref="G4:I4"/>
    <mergeCell ref="J4:L4"/>
    <mergeCell ref="M4:O4"/>
    <mergeCell ref="A5:O5"/>
    <mergeCell ref="A6:C6"/>
    <mergeCell ref="D6:O6"/>
    <mergeCell ref="A7:C7"/>
    <mergeCell ref="D7:H7"/>
    <mergeCell ref="I7:J7"/>
    <mergeCell ref="K7:O7"/>
    <mergeCell ref="A8:C8"/>
    <mergeCell ref="D8:H8"/>
    <mergeCell ref="I8:J8"/>
    <mergeCell ref="K8:O8"/>
    <mergeCell ref="A9:C9"/>
    <mergeCell ref="D9:H9"/>
    <mergeCell ref="I9:J9"/>
    <mergeCell ref="K9:O9"/>
    <mergeCell ref="A10:O10"/>
    <mergeCell ref="A11:A13"/>
    <mergeCell ref="B11:B13"/>
    <mergeCell ref="C11:C13"/>
    <mergeCell ref="D11:D13"/>
    <mergeCell ref="O11:O13"/>
    <mergeCell ref="A39:D39"/>
    <mergeCell ref="E39:O39"/>
    <mergeCell ref="A40:D40"/>
    <mergeCell ref="A41:D41"/>
    <mergeCell ref="A42:D42"/>
    <mergeCell ref="A44:O44"/>
    <mergeCell ref="A45:O47"/>
    <mergeCell ref="A49:O49"/>
    <mergeCell ref="A50:O50"/>
    <mergeCell ref="A51:O51"/>
    <mergeCell ref="A52:O52"/>
    <mergeCell ref="A53:O53"/>
    <mergeCell ref="A54:O54"/>
    <mergeCell ref="A56:E56"/>
    <mergeCell ref="F56:J56"/>
    <mergeCell ref="K56:O56"/>
    <mergeCell ref="A57:E57"/>
    <mergeCell ref="F57:J57"/>
    <mergeCell ref="K57:O57"/>
    <mergeCell ref="A58:E58"/>
    <mergeCell ref="F58:J58"/>
    <mergeCell ref="K58:O58"/>
    <mergeCell ref="A59:E59"/>
    <mergeCell ref="F59:J59"/>
    <mergeCell ref="K59:O59"/>
    <mergeCell ref="A60:O60"/>
  </mergeCells>
  <conditionalFormatting sqref="E14:N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N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IFSPL/M/CL/002  |  Rev 00  |  Ref: IFSPL/M/SOP/002&amp;C&amp;8 Indus Fire Safety Private Limited – Control Copy&amp;R&amp;8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M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2" min="5" style="0" width="17"/>
    <col collapsed="false" customWidth="true" hidden="false" outlineLevel="0" max="13" min="13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3.5" hidden="false" customHeight="true" outlineLevel="0" collapsed="false">
      <c r="A3" s="15" t="s">
        <v>17</v>
      </c>
      <c r="B3" s="15"/>
      <c r="C3" s="15"/>
      <c r="D3" s="15" t="s">
        <v>197</v>
      </c>
      <c r="E3" s="15"/>
      <c r="F3" s="15"/>
      <c r="G3" s="15" t="s">
        <v>5</v>
      </c>
      <c r="H3" s="15"/>
      <c r="I3" s="15"/>
      <c r="J3" s="15" t="s">
        <v>7</v>
      </c>
      <c r="K3" s="15"/>
      <c r="L3" s="15"/>
      <c r="M3" s="15" t="s">
        <v>198</v>
      </c>
    </row>
    <row r="4" customFormat="false" ht="18" hidden="false" customHeight="true" outlineLevel="0" collapsed="false">
      <c r="A4" s="8" t="s">
        <v>34</v>
      </c>
      <c r="B4" s="8"/>
      <c r="C4" s="8"/>
      <c r="D4" s="8" t="s">
        <v>35</v>
      </c>
      <c r="E4" s="8"/>
      <c r="F4" s="8"/>
      <c r="G4" s="8" t="s">
        <v>6</v>
      </c>
      <c r="H4" s="8"/>
      <c r="I4" s="8"/>
      <c r="J4" s="8" t="s">
        <v>199</v>
      </c>
      <c r="K4" s="8"/>
      <c r="L4" s="8"/>
      <c r="M4" s="8" t="s">
        <v>200</v>
      </c>
    </row>
    <row r="5" customFormat="false" ht="24" hidden="false" customHeight="true" outlineLevel="0" collapsed="false">
      <c r="A5" s="3" t="s">
        <v>274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  <c r="L7" s="16"/>
      <c r="M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  <c r="L8" s="16"/>
      <c r="M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  <c r="L9" s="16"/>
      <c r="M9" s="16"/>
    </row>
    <row r="10" customFormat="false" ht="25.5" hidden="false" customHeight="true" outlineLevel="0" collapsed="false">
      <c r="A10" s="17" t="s">
        <v>275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7" t="s">
        <v>222</v>
      </c>
      <c r="M11" s="18" t="s">
        <v>225</v>
      </c>
    </row>
    <row r="12" customFormat="false" ht="54" hidden="false" customHeight="true" outlineLevel="0" collapsed="false">
      <c r="A12" s="18"/>
      <c r="B12" s="18"/>
      <c r="C12" s="18"/>
      <c r="D12" s="18"/>
      <c r="E12" s="19" t="s">
        <v>276</v>
      </c>
      <c r="F12" s="19" t="s">
        <v>277</v>
      </c>
      <c r="G12" s="19" t="s">
        <v>278</v>
      </c>
      <c r="H12" s="19" t="s">
        <v>279</v>
      </c>
      <c r="I12" s="19" t="s">
        <v>280</v>
      </c>
      <c r="J12" s="19" t="s">
        <v>281</v>
      </c>
      <c r="K12" s="19" t="s">
        <v>282</v>
      </c>
      <c r="L12" s="19" t="s">
        <v>283</v>
      </c>
      <c r="M12" s="18"/>
    </row>
    <row r="13" customFormat="false" ht="27.75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236</v>
      </c>
      <c r="H13" s="20" t="s">
        <v>236</v>
      </c>
      <c r="I13" s="20" t="s">
        <v>236</v>
      </c>
      <c r="J13" s="20" t="s">
        <v>236</v>
      </c>
      <c r="K13" s="20" t="s">
        <v>238</v>
      </c>
      <c r="L13" s="20" t="s">
        <v>236</v>
      </c>
      <c r="M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9"/>
      <c r="M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9"/>
      <c r="M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9"/>
      <c r="M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9"/>
      <c r="M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9"/>
      <c r="M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9"/>
      <c r="M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9"/>
      <c r="M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9"/>
      <c r="M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9"/>
      <c r="M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9"/>
      <c r="M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9"/>
      <c r="M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9"/>
      <c r="M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9"/>
      <c r="M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9"/>
      <c r="M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9"/>
      <c r="M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9"/>
      <c r="M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9"/>
      <c r="M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9"/>
      <c r="M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9"/>
      <c r="M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9"/>
      <c r="M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9"/>
      <c r="M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9"/>
      <c r="M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9"/>
      <c r="M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9"/>
      <c r="M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9"/>
      <c r="M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  <c r="M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8" t="n">
        <f aca="false">COUNTIF(L14:L38,"√")</f>
        <v>0</v>
      </c>
      <c r="M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8" t="n">
        <f aca="false">COUNTIF(L14:L38,"X")</f>
        <v>0</v>
      </c>
      <c r="M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8" t="n">
        <f aca="false">COUNTIF(L14:L38,"NA")</f>
        <v>0</v>
      </c>
      <c r="M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9" customFormat="false" ht="15" hidden="false" customHeight="true" outlineLevel="0" collapsed="false">
      <c r="A49" s="4" t="s">
        <v>284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customFormat="false" ht="15" hidden="false" customHeight="true" outlineLevel="0" collapsed="false">
      <c r="A50" s="24" t="s">
        <v>285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customFormat="false" ht="15" hidden="false" customHeight="true" outlineLevel="0" collapsed="false">
      <c r="A51" s="24" t="s">
        <v>286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 customFormat="false" ht="15" hidden="false" customHeight="true" outlineLevel="0" collapsed="false">
      <c r="A52" s="24" t="s">
        <v>287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</row>
    <row r="54" customFormat="false" ht="15" hidden="false" customHeight="true" outlineLevel="0" collapsed="false">
      <c r="A54" s="18" t="s">
        <v>249</v>
      </c>
      <c r="B54" s="18"/>
      <c r="C54" s="18"/>
      <c r="D54" s="18"/>
      <c r="E54" s="18" t="s">
        <v>250</v>
      </c>
      <c r="F54" s="18"/>
      <c r="G54" s="18"/>
      <c r="H54" s="18"/>
      <c r="I54" s="18" t="s">
        <v>251</v>
      </c>
      <c r="J54" s="18"/>
      <c r="K54" s="18"/>
      <c r="L54" s="18"/>
      <c r="M54" s="18"/>
    </row>
    <row r="55" customFormat="false" ht="21.75" hidden="false" customHeight="true" outlineLevel="0" collapsed="false">
      <c r="A55" s="5" t="s">
        <v>252</v>
      </c>
      <c r="B55" s="5"/>
      <c r="C55" s="5"/>
      <c r="D55" s="5"/>
      <c r="E55" s="5" t="s">
        <v>252</v>
      </c>
      <c r="F55" s="5"/>
      <c r="G55" s="5"/>
      <c r="H55" s="5"/>
      <c r="I55" s="5" t="s">
        <v>252</v>
      </c>
      <c r="J55" s="5"/>
      <c r="K55" s="5"/>
      <c r="L55" s="5"/>
      <c r="M55" s="5"/>
    </row>
    <row r="56" customFormat="false" ht="21.75" hidden="false" customHeight="true" outlineLevel="0" collapsed="false">
      <c r="A56" s="5" t="s">
        <v>253</v>
      </c>
      <c r="B56" s="5"/>
      <c r="C56" s="5"/>
      <c r="D56" s="5"/>
      <c r="E56" s="5" t="s">
        <v>253</v>
      </c>
      <c r="F56" s="5"/>
      <c r="G56" s="5"/>
      <c r="H56" s="5"/>
      <c r="I56" s="5" t="s">
        <v>253</v>
      </c>
      <c r="J56" s="5"/>
      <c r="K56" s="5"/>
      <c r="L56" s="5"/>
      <c r="M56" s="5"/>
    </row>
    <row r="57" customFormat="false" ht="21.75" hidden="false" customHeight="true" outlineLevel="0" collapsed="false">
      <c r="A57" s="5" t="s">
        <v>254</v>
      </c>
      <c r="B57" s="5"/>
      <c r="C57" s="5"/>
      <c r="D57" s="5"/>
      <c r="E57" s="5" t="s">
        <v>254</v>
      </c>
      <c r="F57" s="5"/>
      <c r="G57" s="5"/>
      <c r="H57" s="5"/>
      <c r="I57" s="5" t="s">
        <v>254</v>
      </c>
      <c r="J57" s="5"/>
      <c r="K57" s="5"/>
      <c r="L57" s="5"/>
      <c r="M57" s="5"/>
    </row>
    <row r="58" customFormat="false" ht="25.5" hidden="false" customHeight="true" outlineLevel="0" collapsed="false">
      <c r="A58" s="25" t="s">
        <v>255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</row>
  </sheetData>
  <mergeCells count="55">
    <mergeCell ref="A1:M1"/>
    <mergeCell ref="A2:M2"/>
    <mergeCell ref="A3:C3"/>
    <mergeCell ref="D3:F3"/>
    <mergeCell ref="G3:I3"/>
    <mergeCell ref="J3:L3"/>
    <mergeCell ref="A4:C4"/>
    <mergeCell ref="D4:F4"/>
    <mergeCell ref="G4:I4"/>
    <mergeCell ref="J4:L4"/>
    <mergeCell ref="A5:M5"/>
    <mergeCell ref="A6:C6"/>
    <mergeCell ref="D6:M6"/>
    <mergeCell ref="A7:C7"/>
    <mergeCell ref="D7:F7"/>
    <mergeCell ref="G7:H7"/>
    <mergeCell ref="I7:M7"/>
    <mergeCell ref="A8:C8"/>
    <mergeCell ref="D8:F8"/>
    <mergeCell ref="G8:H8"/>
    <mergeCell ref="I8:M8"/>
    <mergeCell ref="A9:C9"/>
    <mergeCell ref="D9:F9"/>
    <mergeCell ref="G9:H9"/>
    <mergeCell ref="I9:M9"/>
    <mergeCell ref="A10:M10"/>
    <mergeCell ref="A11:A13"/>
    <mergeCell ref="B11:B13"/>
    <mergeCell ref="C11:C13"/>
    <mergeCell ref="D11:D13"/>
    <mergeCell ref="M11:M13"/>
    <mergeCell ref="A39:D39"/>
    <mergeCell ref="E39:M39"/>
    <mergeCell ref="A40:D40"/>
    <mergeCell ref="A41:D41"/>
    <mergeCell ref="A42:D42"/>
    <mergeCell ref="A44:M44"/>
    <mergeCell ref="A45:M47"/>
    <mergeCell ref="A49:M49"/>
    <mergeCell ref="A50:M50"/>
    <mergeCell ref="A51:M51"/>
    <mergeCell ref="A52:M52"/>
    <mergeCell ref="A54:D54"/>
    <mergeCell ref="E54:H54"/>
    <mergeCell ref="I54:M54"/>
    <mergeCell ref="A55:D55"/>
    <mergeCell ref="E55:H55"/>
    <mergeCell ref="I55:M55"/>
    <mergeCell ref="A56:D56"/>
    <mergeCell ref="E56:H56"/>
    <mergeCell ref="I56:M56"/>
    <mergeCell ref="A57:D57"/>
    <mergeCell ref="E57:H57"/>
    <mergeCell ref="I57:M57"/>
    <mergeCell ref="A58:M58"/>
  </mergeCells>
  <conditionalFormatting sqref="E14:L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L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IFSPL/M/CL/003  |  Rev 00  |  Ref: IFSPL/M/SOP/003&amp;C&amp;8 Indus Fire Safety Private Limited – Control Copy&amp;R&amp;8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2" min="5" style="0" width="17"/>
    <col collapsed="false" customWidth="true" hidden="false" outlineLevel="0" max="13" min="13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3.5" hidden="false" customHeight="true" outlineLevel="0" collapsed="false">
      <c r="A3" s="15" t="s">
        <v>17</v>
      </c>
      <c r="B3" s="15"/>
      <c r="C3" s="15"/>
      <c r="D3" s="15" t="s">
        <v>197</v>
      </c>
      <c r="E3" s="15"/>
      <c r="F3" s="15"/>
      <c r="G3" s="15" t="s">
        <v>5</v>
      </c>
      <c r="H3" s="15"/>
      <c r="I3" s="15"/>
      <c r="J3" s="15" t="s">
        <v>7</v>
      </c>
      <c r="K3" s="15"/>
      <c r="L3" s="15"/>
      <c r="M3" s="15" t="s">
        <v>198</v>
      </c>
    </row>
    <row r="4" customFormat="false" ht="18" hidden="false" customHeight="true" outlineLevel="0" collapsed="false">
      <c r="A4" s="8" t="s">
        <v>39</v>
      </c>
      <c r="B4" s="8"/>
      <c r="C4" s="8"/>
      <c r="D4" s="8" t="s">
        <v>40</v>
      </c>
      <c r="E4" s="8"/>
      <c r="F4" s="8"/>
      <c r="G4" s="8" t="s">
        <v>6</v>
      </c>
      <c r="H4" s="8"/>
      <c r="I4" s="8"/>
      <c r="J4" s="8" t="s">
        <v>199</v>
      </c>
      <c r="K4" s="8"/>
      <c r="L4" s="8"/>
      <c r="M4" s="8" t="s">
        <v>200</v>
      </c>
    </row>
    <row r="5" customFormat="false" ht="24" hidden="false" customHeight="true" outlineLevel="0" collapsed="false">
      <c r="A5" s="3" t="s">
        <v>288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  <c r="L7" s="16"/>
      <c r="M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  <c r="L8" s="16"/>
      <c r="M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  <c r="L9" s="16"/>
      <c r="M9" s="16"/>
    </row>
    <row r="10" customFormat="false" ht="25.5" hidden="false" customHeight="true" outlineLevel="0" collapsed="false">
      <c r="A10" s="17" t="s">
        <v>289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7" t="s">
        <v>222</v>
      </c>
      <c r="M11" s="18" t="s">
        <v>225</v>
      </c>
    </row>
    <row r="12" customFormat="false" ht="54" hidden="false" customHeight="true" outlineLevel="0" collapsed="false">
      <c r="A12" s="18"/>
      <c r="B12" s="18"/>
      <c r="C12" s="18"/>
      <c r="D12" s="18"/>
      <c r="E12" s="19" t="s">
        <v>290</v>
      </c>
      <c r="F12" s="19" t="s">
        <v>291</v>
      </c>
      <c r="G12" s="19" t="s">
        <v>292</v>
      </c>
      <c r="H12" s="19" t="s">
        <v>293</v>
      </c>
      <c r="I12" s="19" t="s">
        <v>294</v>
      </c>
      <c r="J12" s="19" t="s">
        <v>295</v>
      </c>
      <c r="K12" s="19" t="s">
        <v>296</v>
      </c>
      <c r="L12" s="19" t="s">
        <v>297</v>
      </c>
      <c r="M12" s="18"/>
    </row>
    <row r="13" customFormat="false" ht="27.75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236</v>
      </c>
      <c r="H13" s="20" t="s">
        <v>236</v>
      </c>
      <c r="I13" s="20" t="s">
        <v>236</v>
      </c>
      <c r="J13" s="20" t="s">
        <v>236</v>
      </c>
      <c r="K13" s="20" t="s">
        <v>238</v>
      </c>
      <c r="L13" s="20" t="s">
        <v>236</v>
      </c>
      <c r="M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9"/>
      <c r="M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9"/>
      <c r="M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9"/>
      <c r="M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9"/>
      <c r="M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9"/>
      <c r="M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9"/>
      <c r="M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9"/>
      <c r="M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9"/>
      <c r="M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9"/>
      <c r="M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9"/>
      <c r="M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9"/>
      <c r="M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9"/>
      <c r="M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9"/>
      <c r="M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9"/>
      <c r="M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9"/>
      <c r="M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9"/>
      <c r="M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9"/>
      <c r="M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9"/>
      <c r="M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9"/>
      <c r="M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9"/>
      <c r="M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9"/>
      <c r="M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9"/>
      <c r="M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9"/>
      <c r="M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9"/>
      <c r="M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9"/>
      <c r="M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  <c r="M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8" t="n">
        <f aca="false">COUNTIF(L14:L38,"√")</f>
        <v>0</v>
      </c>
      <c r="M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8" t="n">
        <f aca="false">COUNTIF(L14:L38,"X")</f>
        <v>0</v>
      </c>
      <c r="M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8" t="n">
        <f aca="false">COUNTIF(L14:L38,"NA")</f>
        <v>0</v>
      </c>
      <c r="M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9" customFormat="false" ht="15" hidden="false" customHeight="true" outlineLevel="0" collapsed="false">
      <c r="A49" s="4" t="s">
        <v>298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customFormat="false" ht="15" hidden="false" customHeight="true" outlineLevel="0" collapsed="false">
      <c r="A50" s="24" t="s">
        <v>299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customFormat="false" ht="15" hidden="false" customHeight="true" outlineLevel="0" collapsed="false">
      <c r="A51" s="24" t="s">
        <v>300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 customFormat="false" ht="15" hidden="false" customHeight="true" outlineLevel="0" collapsed="false">
      <c r="A52" s="24" t="s">
        <v>301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</row>
    <row r="53" customFormat="false" ht="15" hidden="false" customHeight="true" outlineLevel="0" collapsed="false">
      <c r="A53" s="24" t="s">
        <v>302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</row>
    <row r="54" customFormat="false" ht="15" hidden="false" customHeight="true" outlineLevel="0" collapsed="false">
      <c r="A54" s="24" t="s">
        <v>303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6" customFormat="false" ht="15" hidden="false" customHeight="true" outlineLevel="0" collapsed="false">
      <c r="A56" s="18" t="s">
        <v>249</v>
      </c>
      <c r="B56" s="18"/>
      <c r="C56" s="18"/>
      <c r="D56" s="18"/>
      <c r="E56" s="18" t="s">
        <v>250</v>
      </c>
      <c r="F56" s="18"/>
      <c r="G56" s="18"/>
      <c r="H56" s="18"/>
      <c r="I56" s="18" t="s">
        <v>251</v>
      </c>
      <c r="J56" s="18"/>
      <c r="K56" s="18"/>
      <c r="L56" s="18"/>
      <c r="M56" s="18"/>
    </row>
    <row r="57" customFormat="false" ht="21.75" hidden="false" customHeight="true" outlineLevel="0" collapsed="false">
      <c r="A57" s="5" t="s">
        <v>252</v>
      </c>
      <c r="B57" s="5"/>
      <c r="C57" s="5"/>
      <c r="D57" s="5"/>
      <c r="E57" s="5" t="s">
        <v>252</v>
      </c>
      <c r="F57" s="5"/>
      <c r="G57" s="5"/>
      <c r="H57" s="5"/>
      <c r="I57" s="5" t="s">
        <v>252</v>
      </c>
      <c r="J57" s="5"/>
      <c r="K57" s="5"/>
      <c r="L57" s="5"/>
      <c r="M57" s="5"/>
    </row>
    <row r="58" customFormat="false" ht="21.75" hidden="false" customHeight="true" outlineLevel="0" collapsed="false">
      <c r="A58" s="5" t="s">
        <v>253</v>
      </c>
      <c r="B58" s="5"/>
      <c r="C58" s="5"/>
      <c r="D58" s="5"/>
      <c r="E58" s="5" t="s">
        <v>253</v>
      </c>
      <c r="F58" s="5"/>
      <c r="G58" s="5"/>
      <c r="H58" s="5"/>
      <c r="I58" s="5" t="s">
        <v>253</v>
      </c>
      <c r="J58" s="5"/>
      <c r="K58" s="5"/>
      <c r="L58" s="5"/>
      <c r="M58" s="5"/>
    </row>
    <row r="59" customFormat="false" ht="21.75" hidden="false" customHeight="true" outlineLevel="0" collapsed="false">
      <c r="A59" s="5" t="s">
        <v>254</v>
      </c>
      <c r="B59" s="5"/>
      <c r="C59" s="5"/>
      <c r="D59" s="5"/>
      <c r="E59" s="5" t="s">
        <v>254</v>
      </c>
      <c r="F59" s="5"/>
      <c r="G59" s="5"/>
      <c r="H59" s="5"/>
      <c r="I59" s="5" t="s">
        <v>254</v>
      </c>
      <c r="J59" s="5"/>
      <c r="K59" s="5"/>
      <c r="L59" s="5"/>
      <c r="M59" s="5"/>
    </row>
    <row r="60" customFormat="false" ht="25.5" hidden="false" customHeight="true" outlineLevel="0" collapsed="false">
      <c r="A60" s="25" t="s">
        <v>255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</row>
  </sheetData>
  <mergeCells count="57">
    <mergeCell ref="A1:M1"/>
    <mergeCell ref="A2:M2"/>
    <mergeCell ref="A3:C3"/>
    <mergeCell ref="D3:F3"/>
    <mergeCell ref="G3:I3"/>
    <mergeCell ref="J3:L3"/>
    <mergeCell ref="A4:C4"/>
    <mergeCell ref="D4:F4"/>
    <mergeCell ref="G4:I4"/>
    <mergeCell ref="J4:L4"/>
    <mergeCell ref="A5:M5"/>
    <mergeCell ref="A6:C6"/>
    <mergeCell ref="D6:M6"/>
    <mergeCell ref="A7:C7"/>
    <mergeCell ref="D7:F7"/>
    <mergeCell ref="G7:H7"/>
    <mergeCell ref="I7:M7"/>
    <mergeCell ref="A8:C8"/>
    <mergeCell ref="D8:F8"/>
    <mergeCell ref="G8:H8"/>
    <mergeCell ref="I8:M8"/>
    <mergeCell ref="A9:C9"/>
    <mergeCell ref="D9:F9"/>
    <mergeCell ref="G9:H9"/>
    <mergeCell ref="I9:M9"/>
    <mergeCell ref="A10:M10"/>
    <mergeCell ref="A11:A13"/>
    <mergeCell ref="B11:B13"/>
    <mergeCell ref="C11:C13"/>
    <mergeCell ref="D11:D13"/>
    <mergeCell ref="M11:M13"/>
    <mergeCell ref="A39:D39"/>
    <mergeCell ref="E39:M39"/>
    <mergeCell ref="A40:D40"/>
    <mergeCell ref="A41:D41"/>
    <mergeCell ref="A42:D42"/>
    <mergeCell ref="A44:M44"/>
    <mergeCell ref="A45:M47"/>
    <mergeCell ref="A49:M49"/>
    <mergeCell ref="A50:M50"/>
    <mergeCell ref="A51:M51"/>
    <mergeCell ref="A52:M52"/>
    <mergeCell ref="A53:M53"/>
    <mergeCell ref="A54:M54"/>
    <mergeCell ref="A56:D56"/>
    <mergeCell ref="E56:H56"/>
    <mergeCell ref="I56:M56"/>
    <mergeCell ref="A57:D57"/>
    <mergeCell ref="E57:H57"/>
    <mergeCell ref="I57:M57"/>
    <mergeCell ref="A58:D58"/>
    <mergeCell ref="E58:H58"/>
    <mergeCell ref="I58:M58"/>
    <mergeCell ref="A59:D59"/>
    <mergeCell ref="E59:H59"/>
    <mergeCell ref="I59:M59"/>
    <mergeCell ref="A60:M60"/>
  </mergeCells>
  <conditionalFormatting sqref="E14:L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L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IFSPL/M/CL/004  |  Rev 00  |  Ref: IFSPL/M/SOP/004&amp;C&amp;8 Indus Fire Safety Private Limited – Control Copy&amp;R&amp;8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2" min="5" style="0" width="17"/>
    <col collapsed="false" customWidth="true" hidden="false" outlineLevel="0" max="13" min="13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3.5" hidden="false" customHeight="true" outlineLevel="0" collapsed="false">
      <c r="A3" s="15" t="s">
        <v>17</v>
      </c>
      <c r="B3" s="15"/>
      <c r="C3" s="15"/>
      <c r="D3" s="15" t="s">
        <v>197</v>
      </c>
      <c r="E3" s="15"/>
      <c r="F3" s="15"/>
      <c r="G3" s="15" t="s">
        <v>5</v>
      </c>
      <c r="H3" s="15"/>
      <c r="I3" s="15"/>
      <c r="J3" s="15" t="s">
        <v>7</v>
      </c>
      <c r="K3" s="15"/>
      <c r="L3" s="15"/>
      <c r="M3" s="15" t="s">
        <v>198</v>
      </c>
    </row>
    <row r="4" customFormat="false" ht="18" hidden="false" customHeight="true" outlineLevel="0" collapsed="false">
      <c r="A4" s="8" t="s">
        <v>44</v>
      </c>
      <c r="B4" s="8"/>
      <c r="C4" s="8"/>
      <c r="D4" s="8" t="s">
        <v>45</v>
      </c>
      <c r="E4" s="8"/>
      <c r="F4" s="8"/>
      <c r="G4" s="8" t="s">
        <v>6</v>
      </c>
      <c r="H4" s="8"/>
      <c r="I4" s="8"/>
      <c r="J4" s="8" t="s">
        <v>199</v>
      </c>
      <c r="K4" s="8"/>
      <c r="L4" s="8"/>
      <c r="M4" s="8" t="s">
        <v>200</v>
      </c>
    </row>
    <row r="5" customFormat="false" ht="24" hidden="false" customHeight="true" outlineLevel="0" collapsed="false">
      <c r="A5" s="3" t="s">
        <v>304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  <c r="L7" s="16"/>
      <c r="M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  <c r="L8" s="16"/>
      <c r="M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  <c r="L9" s="16"/>
      <c r="M9" s="16"/>
    </row>
    <row r="10" customFormat="false" ht="25.5" hidden="false" customHeight="true" outlineLevel="0" collapsed="false">
      <c r="A10" s="17" t="s">
        <v>305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7" t="s">
        <v>222</v>
      </c>
      <c r="M11" s="18" t="s">
        <v>225</v>
      </c>
    </row>
    <row r="12" customFormat="false" ht="42" hidden="false" customHeight="true" outlineLevel="0" collapsed="false">
      <c r="A12" s="18"/>
      <c r="B12" s="18"/>
      <c r="C12" s="18"/>
      <c r="D12" s="18"/>
      <c r="E12" s="19" t="s">
        <v>306</v>
      </c>
      <c r="F12" s="19" t="s">
        <v>307</v>
      </c>
      <c r="G12" s="19" t="s">
        <v>308</v>
      </c>
      <c r="H12" s="19" t="s">
        <v>309</v>
      </c>
      <c r="I12" s="19" t="s">
        <v>310</v>
      </c>
      <c r="J12" s="19" t="s">
        <v>311</v>
      </c>
      <c r="K12" s="19" t="s">
        <v>312</v>
      </c>
      <c r="L12" s="19" t="s">
        <v>313</v>
      </c>
      <c r="M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236</v>
      </c>
      <c r="H13" s="20" t="s">
        <v>236</v>
      </c>
      <c r="I13" s="20" t="s">
        <v>236</v>
      </c>
      <c r="J13" s="20" t="s">
        <v>236</v>
      </c>
      <c r="K13" s="20" t="s">
        <v>236</v>
      </c>
      <c r="L13" s="20" t="s">
        <v>314</v>
      </c>
      <c r="M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9"/>
      <c r="M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9"/>
      <c r="M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9"/>
      <c r="M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9"/>
      <c r="M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9"/>
      <c r="M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9"/>
      <c r="M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9"/>
      <c r="M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9"/>
      <c r="M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9"/>
      <c r="M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9"/>
      <c r="M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9"/>
      <c r="M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9"/>
      <c r="M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9"/>
      <c r="M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9"/>
      <c r="M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9"/>
      <c r="M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9"/>
      <c r="M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9"/>
      <c r="M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9"/>
      <c r="M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9"/>
      <c r="M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9"/>
      <c r="M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9"/>
      <c r="M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9"/>
      <c r="M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9"/>
      <c r="M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9"/>
      <c r="M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9"/>
      <c r="M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  <c r="M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8" t="n">
        <f aca="false">COUNTIF(L14:L38,"√")</f>
        <v>0</v>
      </c>
      <c r="M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8" t="n">
        <f aca="false">COUNTIF(L14:L38,"X")</f>
        <v>0</v>
      </c>
      <c r="M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8" t="n">
        <f aca="false">COUNTIF(L14:L38,"NA")</f>
        <v>0</v>
      </c>
      <c r="M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9" customFormat="false" ht="15" hidden="false" customHeight="true" outlineLevel="0" collapsed="false">
      <c r="A49" s="4" t="s">
        <v>315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customFormat="false" ht="15" hidden="false" customHeight="true" outlineLevel="0" collapsed="false">
      <c r="A50" s="24" t="s">
        <v>316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customFormat="false" ht="15" hidden="false" customHeight="true" outlineLevel="0" collapsed="false">
      <c r="A51" s="24" t="s">
        <v>317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 customFormat="false" ht="15" hidden="false" customHeight="true" outlineLevel="0" collapsed="false">
      <c r="A52" s="24" t="s">
        <v>318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</row>
    <row r="53" customFormat="false" ht="15" hidden="false" customHeight="true" outlineLevel="0" collapsed="false">
      <c r="A53" s="24" t="s">
        <v>319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</row>
    <row r="54" customFormat="false" ht="15" hidden="false" customHeight="true" outlineLevel="0" collapsed="false">
      <c r="A54" s="24" t="s">
        <v>320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6" customFormat="false" ht="15" hidden="false" customHeight="true" outlineLevel="0" collapsed="false">
      <c r="A56" s="18" t="s">
        <v>249</v>
      </c>
      <c r="B56" s="18"/>
      <c r="C56" s="18"/>
      <c r="D56" s="18"/>
      <c r="E56" s="18" t="s">
        <v>250</v>
      </c>
      <c r="F56" s="18"/>
      <c r="G56" s="18"/>
      <c r="H56" s="18"/>
      <c r="I56" s="18" t="s">
        <v>251</v>
      </c>
      <c r="J56" s="18"/>
      <c r="K56" s="18"/>
      <c r="L56" s="18"/>
      <c r="M56" s="18"/>
    </row>
    <row r="57" customFormat="false" ht="21.75" hidden="false" customHeight="true" outlineLevel="0" collapsed="false">
      <c r="A57" s="5" t="s">
        <v>252</v>
      </c>
      <c r="B57" s="5"/>
      <c r="C57" s="5"/>
      <c r="D57" s="5"/>
      <c r="E57" s="5" t="s">
        <v>252</v>
      </c>
      <c r="F57" s="5"/>
      <c r="G57" s="5"/>
      <c r="H57" s="5"/>
      <c r="I57" s="5" t="s">
        <v>252</v>
      </c>
      <c r="J57" s="5"/>
      <c r="K57" s="5"/>
      <c r="L57" s="5"/>
      <c r="M57" s="5"/>
    </row>
    <row r="58" customFormat="false" ht="21.75" hidden="false" customHeight="true" outlineLevel="0" collapsed="false">
      <c r="A58" s="5" t="s">
        <v>253</v>
      </c>
      <c r="B58" s="5"/>
      <c r="C58" s="5"/>
      <c r="D58" s="5"/>
      <c r="E58" s="5" t="s">
        <v>253</v>
      </c>
      <c r="F58" s="5"/>
      <c r="G58" s="5"/>
      <c r="H58" s="5"/>
      <c r="I58" s="5" t="s">
        <v>253</v>
      </c>
      <c r="J58" s="5"/>
      <c r="K58" s="5"/>
      <c r="L58" s="5"/>
      <c r="M58" s="5"/>
    </row>
    <row r="59" customFormat="false" ht="21.75" hidden="false" customHeight="true" outlineLevel="0" collapsed="false">
      <c r="A59" s="5" t="s">
        <v>254</v>
      </c>
      <c r="B59" s="5"/>
      <c r="C59" s="5"/>
      <c r="D59" s="5"/>
      <c r="E59" s="5" t="s">
        <v>254</v>
      </c>
      <c r="F59" s="5"/>
      <c r="G59" s="5"/>
      <c r="H59" s="5"/>
      <c r="I59" s="5" t="s">
        <v>254</v>
      </c>
      <c r="J59" s="5"/>
      <c r="K59" s="5"/>
      <c r="L59" s="5"/>
      <c r="M59" s="5"/>
    </row>
    <row r="60" customFormat="false" ht="25.5" hidden="false" customHeight="true" outlineLevel="0" collapsed="false">
      <c r="A60" s="25" t="s">
        <v>255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</row>
  </sheetData>
  <mergeCells count="57">
    <mergeCell ref="A1:M1"/>
    <mergeCell ref="A2:M2"/>
    <mergeCell ref="A3:C3"/>
    <mergeCell ref="D3:F3"/>
    <mergeCell ref="G3:I3"/>
    <mergeCell ref="J3:L3"/>
    <mergeCell ref="A4:C4"/>
    <mergeCell ref="D4:F4"/>
    <mergeCell ref="G4:I4"/>
    <mergeCell ref="J4:L4"/>
    <mergeCell ref="A5:M5"/>
    <mergeCell ref="A6:C6"/>
    <mergeCell ref="D6:M6"/>
    <mergeCell ref="A7:C7"/>
    <mergeCell ref="D7:F7"/>
    <mergeCell ref="G7:H7"/>
    <mergeCell ref="I7:M7"/>
    <mergeCell ref="A8:C8"/>
    <mergeCell ref="D8:F8"/>
    <mergeCell ref="G8:H8"/>
    <mergeCell ref="I8:M8"/>
    <mergeCell ref="A9:C9"/>
    <mergeCell ref="D9:F9"/>
    <mergeCell ref="G9:H9"/>
    <mergeCell ref="I9:M9"/>
    <mergeCell ref="A10:M10"/>
    <mergeCell ref="A11:A13"/>
    <mergeCell ref="B11:B13"/>
    <mergeCell ref="C11:C13"/>
    <mergeCell ref="D11:D13"/>
    <mergeCell ref="M11:M13"/>
    <mergeCell ref="A39:D39"/>
    <mergeCell ref="E39:M39"/>
    <mergeCell ref="A40:D40"/>
    <mergeCell ref="A41:D41"/>
    <mergeCell ref="A42:D42"/>
    <mergeCell ref="A44:M44"/>
    <mergeCell ref="A45:M47"/>
    <mergeCell ref="A49:M49"/>
    <mergeCell ref="A50:M50"/>
    <mergeCell ref="A51:M51"/>
    <mergeCell ref="A52:M52"/>
    <mergeCell ref="A53:M53"/>
    <mergeCell ref="A54:M54"/>
    <mergeCell ref="A56:D56"/>
    <mergeCell ref="E56:H56"/>
    <mergeCell ref="I56:M56"/>
    <mergeCell ref="A57:D57"/>
    <mergeCell ref="E57:H57"/>
    <mergeCell ref="I57:M57"/>
    <mergeCell ref="A58:D58"/>
    <mergeCell ref="E58:H58"/>
    <mergeCell ref="I58:M58"/>
    <mergeCell ref="A59:D59"/>
    <mergeCell ref="E59:H59"/>
    <mergeCell ref="I59:M59"/>
    <mergeCell ref="A60:M60"/>
  </mergeCells>
  <conditionalFormatting sqref="E14:L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L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IFSPL/M/CL/005  |  Rev 00  |  Ref: IFSPL/M/SOP/005&amp;C&amp;8 Indus Fire Safety Private Limited – Control Copy&amp;R&amp;8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L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1" min="5" style="0" width="17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  <c r="K3" s="15"/>
      <c r="L3" s="15"/>
    </row>
    <row r="4" customFormat="false" ht="18" hidden="false" customHeight="true" outlineLevel="0" collapsed="false">
      <c r="A4" s="8" t="s">
        <v>49</v>
      </c>
      <c r="B4" s="8"/>
      <c r="C4" s="8" t="s">
        <v>50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  <c r="K4" s="8"/>
      <c r="L4" s="8"/>
    </row>
    <row r="5" customFormat="false" ht="24" hidden="false" customHeight="true" outlineLevel="0" collapsed="false">
      <c r="A5" s="3" t="s">
        <v>321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  <c r="L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  <c r="L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  <c r="L9" s="16"/>
    </row>
    <row r="10" customFormat="false" ht="25.5" hidden="false" customHeight="true" outlineLevel="0" collapsed="false">
      <c r="A10" s="17" t="s">
        <v>322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18" t="s">
        <v>225</v>
      </c>
    </row>
    <row r="12" customFormat="false" ht="54" hidden="false" customHeight="true" outlineLevel="0" collapsed="false">
      <c r="A12" s="18"/>
      <c r="B12" s="18"/>
      <c r="C12" s="18"/>
      <c r="D12" s="18"/>
      <c r="E12" s="19" t="s">
        <v>323</v>
      </c>
      <c r="F12" s="19" t="s">
        <v>324</v>
      </c>
      <c r="G12" s="19" t="s">
        <v>325</v>
      </c>
      <c r="H12" s="19" t="s">
        <v>326</v>
      </c>
      <c r="I12" s="19" t="s">
        <v>327</v>
      </c>
      <c r="J12" s="19" t="s">
        <v>328</v>
      </c>
      <c r="K12" s="19" t="s">
        <v>329</v>
      </c>
      <c r="L12" s="18"/>
    </row>
    <row r="13" customFormat="false" ht="27.75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236</v>
      </c>
      <c r="H13" s="20" t="s">
        <v>236</v>
      </c>
      <c r="I13" s="20" t="s">
        <v>236</v>
      </c>
      <c r="J13" s="20" t="s">
        <v>236</v>
      </c>
      <c r="K13" s="20" t="s">
        <v>238</v>
      </c>
      <c r="L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9" customFormat="false" ht="15" hidden="false" customHeight="true" outlineLevel="0" collapsed="false">
      <c r="A49" s="4" t="s">
        <v>330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true" outlineLevel="0" collapsed="false">
      <c r="A50" s="24" t="s">
        <v>331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customFormat="false" ht="15" hidden="false" customHeight="true" outlineLevel="0" collapsed="false">
      <c r="A51" s="24" t="s">
        <v>332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customFormat="false" ht="15" hidden="false" customHeight="true" outlineLevel="0" collapsed="false">
      <c r="A52" s="24" t="s">
        <v>333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customFormat="false" ht="15" hidden="false" customHeight="true" outlineLevel="0" collapsed="false">
      <c r="A53" s="24" t="s">
        <v>334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customFormat="false" ht="15" hidden="false" customHeight="true" outlineLevel="0" collapsed="false">
      <c r="A54" s="24" t="s">
        <v>335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6" customFormat="false" ht="15" hidden="false" customHeight="true" outlineLevel="0" collapsed="false">
      <c r="A56" s="18" t="s">
        <v>249</v>
      </c>
      <c r="B56" s="18"/>
      <c r="C56" s="18"/>
      <c r="D56" s="18"/>
      <c r="E56" s="18" t="s">
        <v>250</v>
      </c>
      <c r="F56" s="18"/>
      <c r="G56" s="18"/>
      <c r="H56" s="18"/>
      <c r="I56" s="18" t="s">
        <v>251</v>
      </c>
      <c r="J56" s="18"/>
      <c r="K56" s="18"/>
      <c r="L56" s="18"/>
    </row>
    <row r="57" customFormat="false" ht="21.75" hidden="false" customHeight="true" outlineLevel="0" collapsed="false">
      <c r="A57" s="5" t="s">
        <v>252</v>
      </c>
      <c r="B57" s="5"/>
      <c r="C57" s="5"/>
      <c r="D57" s="5"/>
      <c r="E57" s="5" t="s">
        <v>252</v>
      </c>
      <c r="F57" s="5"/>
      <c r="G57" s="5"/>
      <c r="H57" s="5"/>
      <c r="I57" s="5" t="s">
        <v>252</v>
      </c>
      <c r="J57" s="5"/>
      <c r="K57" s="5"/>
      <c r="L57" s="5"/>
    </row>
    <row r="58" customFormat="false" ht="21.75" hidden="false" customHeight="true" outlineLevel="0" collapsed="false">
      <c r="A58" s="5" t="s">
        <v>253</v>
      </c>
      <c r="B58" s="5"/>
      <c r="C58" s="5"/>
      <c r="D58" s="5"/>
      <c r="E58" s="5" t="s">
        <v>253</v>
      </c>
      <c r="F58" s="5"/>
      <c r="G58" s="5"/>
      <c r="H58" s="5"/>
      <c r="I58" s="5" t="s">
        <v>253</v>
      </c>
      <c r="J58" s="5"/>
      <c r="K58" s="5"/>
      <c r="L58" s="5"/>
    </row>
    <row r="59" customFormat="false" ht="21.75" hidden="false" customHeight="true" outlineLevel="0" collapsed="false">
      <c r="A59" s="5" t="s">
        <v>254</v>
      </c>
      <c r="B59" s="5"/>
      <c r="C59" s="5"/>
      <c r="D59" s="5"/>
      <c r="E59" s="5" t="s">
        <v>254</v>
      </c>
      <c r="F59" s="5"/>
      <c r="G59" s="5"/>
      <c r="H59" s="5"/>
      <c r="I59" s="5" t="s">
        <v>254</v>
      </c>
      <c r="J59" s="5"/>
      <c r="K59" s="5"/>
      <c r="L59" s="5"/>
    </row>
    <row r="60" customFormat="false" ht="25.5" hidden="false" customHeight="true" outlineLevel="0" collapsed="false">
      <c r="A60" s="25" t="s">
        <v>255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</sheetData>
  <mergeCells count="59">
    <mergeCell ref="A1:L1"/>
    <mergeCell ref="A2:L2"/>
    <mergeCell ref="A3:B3"/>
    <mergeCell ref="C3:D3"/>
    <mergeCell ref="E3:F3"/>
    <mergeCell ref="G3:H3"/>
    <mergeCell ref="I3:L3"/>
    <mergeCell ref="A4:B4"/>
    <mergeCell ref="C4:D4"/>
    <mergeCell ref="E4:F4"/>
    <mergeCell ref="G4:H4"/>
    <mergeCell ref="I4:L4"/>
    <mergeCell ref="A5:L5"/>
    <mergeCell ref="A6:C6"/>
    <mergeCell ref="D6:L6"/>
    <mergeCell ref="A7:C7"/>
    <mergeCell ref="D7:F7"/>
    <mergeCell ref="G7:H7"/>
    <mergeCell ref="I7:L7"/>
    <mergeCell ref="A8:C8"/>
    <mergeCell ref="D8:F8"/>
    <mergeCell ref="G8:H8"/>
    <mergeCell ref="I8:L8"/>
    <mergeCell ref="A9:C9"/>
    <mergeCell ref="D9:F9"/>
    <mergeCell ref="G9:H9"/>
    <mergeCell ref="I9:L9"/>
    <mergeCell ref="A10:L10"/>
    <mergeCell ref="A11:A13"/>
    <mergeCell ref="B11:B13"/>
    <mergeCell ref="C11:C13"/>
    <mergeCell ref="D11:D13"/>
    <mergeCell ref="L11:L13"/>
    <mergeCell ref="A39:D39"/>
    <mergeCell ref="E39:L39"/>
    <mergeCell ref="A40:D40"/>
    <mergeCell ref="A41:D41"/>
    <mergeCell ref="A42:D42"/>
    <mergeCell ref="A44:L44"/>
    <mergeCell ref="A45:L47"/>
    <mergeCell ref="A49:L49"/>
    <mergeCell ref="A50:L50"/>
    <mergeCell ref="A51:L51"/>
    <mergeCell ref="A52:L52"/>
    <mergeCell ref="A53:L53"/>
    <mergeCell ref="A54:L54"/>
    <mergeCell ref="A56:D56"/>
    <mergeCell ref="E56:H56"/>
    <mergeCell ref="I56:L56"/>
    <mergeCell ref="A57:D57"/>
    <mergeCell ref="E57:H57"/>
    <mergeCell ref="I57:L57"/>
    <mergeCell ref="A58:D58"/>
    <mergeCell ref="E58:H58"/>
    <mergeCell ref="I58:L58"/>
    <mergeCell ref="A59:D59"/>
    <mergeCell ref="E59:H59"/>
    <mergeCell ref="I59:L59"/>
    <mergeCell ref="A60:L60"/>
  </mergeCells>
  <conditionalFormatting sqref="E14:K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K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IFSPL/M/CL/006  |  Rev 00  |  Ref: IFSPL/M/SOP/006&amp;C&amp;8 Indus Fire Safety Private Limited – Control Copy&amp;R&amp;8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3" min="5" style="0" width="17"/>
    <col collapsed="false" customWidth="true" hidden="false" outlineLevel="0" max="14" min="14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3.5" hidden="false" customHeight="true" outlineLevel="0" collapsed="false">
      <c r="A3" s="15" t="s">
        <v>17</v>
      </c>
      <c r="B3" s="15"/>
      <c r="C3" s="15"/>
      <c r="D3" s="15" t="s">
        <v>197</v>
      </c>
      <c r="E3" s="15"/>
      <c r="F3" s="15"/>
      <c r="G3" s="15" t="s">
        <v>5</v>
      </c>
      <c r="H3" s="15"/>
      <c r="I3" s="15"/>
      <c r="J3" s="15" t="s">
        <v>7</v>
      </c>
      <c r="K3" s="15"/>
      <c r="L3" s="15"/>
      <c r="M3" s="15" t="s">
        <v>198</v>
      </c>
      <c r="N3" s="15"/>
    </row>
    <row r="4" customFormat="false" ht="18" hidden="false" customHeight="true" outlineLevel="0" collapsed="false">
      <c r="A4" s="8" t="s">
        <v>54</v>
      </c>
      <c r="B4" s="8"/>
      <c r="C4" s="8"/>
      <c r="D4" s="8" t="s">
        <v>55</v>
      </c>
      <c r="E4" s="8"/>
      <c r="F4" s="8"/>
      <c r="G4" s="8" t="s">
        <v>6</v>
      </c>
      <c r="H4" s="8"/>
      <c r="I4" s="8"/>
      <c r="J4" s="8" t="s">
        <v>199</v>
      </c>
      <c r="K4" s="8"/>
      <c r="L4" s="8"/>
      <c r="M4" s="8" t="s">
        <v>200</v>
      </c>
      <c r="N4" s="8"/>
    </row>
    <row r="5" customFormat="false" ht="24" hidden="false" customHeight="true" outlineLevel="0" collapsed="false">
      <c r="A5" s="3" t="s">
        <v>336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16"/>
      <c r="H7" s="4" t="s">
        <v>204</v>
      </c>
      <c r="I7" s="4"/>
      <c r="J7" s="16" t="s">
        <v>205</v>
      </c>
      <c r="K7" s="16"/>
      <c r="L7" s="16"/>
      <c r="M7" s="16"/>
      <c r="N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16"/>
      <c r="H8" s="4" t="s">
        <v>207</v>
      </c>
      <c r="I8" s="4"/>
      <c r="J8" s="16"/>
      <c r="K8" s="16"/>
      <c r="L8" s="16"/>
      <c r="M8" s="16"/>
      <c r="N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16"/>
      <c r="H9" s="4" t="s">
        <v>209</v>
      </c>
      <c r="I9" s="4"/>
      <c r="J9" s="16"/>
      <c r="K9" s="16"/>
      <c r="L9" s="16"/>
      <c r="M9" s="16"/>
      <c r="N9" s="16"/>
    </row>
    <row r="10" customFormat="false" ht="25.5" hidden="false" customHeight="true" outlineLevel="0" collapsed="false">
      <c r="A10" s="17" t="s">
        <v>337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7" t="s">
        <v>222</v>
      </c>
      <c r="M11" s="7" t="s">
        <v>223</v>
      </c>
      <c r="N11" s="18" t="s">
        <v>225</v>
      </c>
    </row>
    <row r="12" customFormat="false" ht="54" hidden="false" customHeight="true" outlineLevel="0" collapsed="false">
      <c r="A12" s="18"/>
      <c r="B12" s="18"/>
      <c r="C12" s="18"/>
      <c r="D12" s="18"/>
      <c r="E12" s="19" t="s">
        <v>338</v>
      </c>
      <c r="F12" s="19" t="s">
        <v>339</v>
      </c>
      <c r="G12" s="19" t="s">
        <v>340</v>
      </c>
      <c r="H12" s="19" t="s">
        <v>341</v>
      </c>
      <c r="I12" s="19" t="s">
        <v>342</v>
      </c>
      <c r="J12" s="19" t="s">
        <v>343</v>
      </c>
      <c r="K12" s="19" t="s">
        <v>344</v>
      </c>
      <c r="L12" s="19" t="s">
        <v>345</v>
      </c>
      <c r="M12" s="19" t="s">
        <v>346</v>
      </c>
      <c r="N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347</v>
      </c>
      <c r="F13" s="20" t="s">
        <v>348</v>
      </c>
      <c r="G13" s="20" t="s">
        <v>347</v>
      </c>
      <c r="H13" s="20" t="s">
        <v>347</v>
      </c>
      <c r="I13" s="20" t="s">
        <v>347</v>
      </c>
      <c r="J13" s="20" t="s">
        <v>347</v>
      </c>
      <c r="K13" s="20" t="s">
        <v>347</v>
      </c>
      <c r="L13" s="20" t="s">
        <v>347</v>
      </c>
      <c r="M13" s="20" t="s">
        <v>236</v>
      </c>
      <c r="N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9"/>
      <c r="M14" s="9"/>
      <c r="N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9"/>
      <c r="M15" s="9"/>
      <c r="N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9"/>
      <c r="M16" s="9"/>
      <c r="N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9"/>
      <c r="M17" s="9"/>
      <c r="N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9"/>
      <c r="M18" s="9"/>
      <c r="N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9"/>
      <c r="M19" s="9"/>
      <c r="N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9"/>
      <c r="M20" s="9"/>
      <c r="N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9"/>
      <c r="M21" s="9"/>
      <c r="N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9"/>
      <c r="M22" s="9"/>
      <c r="N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9"/>
      <c r="M23" s="9"/>
      <c r="N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9"/>
      <c r="M24" s="9"/>
      <c r="N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9"/>
      <c r="M25" s="9"/>
      <c r="N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9"/>
      <c r="M26" s="9"/>
      <c r="N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9"/>
      <c r="M27" s="9"/>
      <c r="N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9"/>
      <c r="M28" s="9"/>
      <c r="N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9"/>
      <c r="M29" s="9"/>
      <c r="N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9"/>
      <c r="M30" s="9"/>
      <c r="N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9"/>
      <c r="M31" s="9"/>
      <c r="N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9"/>
      <c r="M32" s="9"/>
      <c r="N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9"/>
      <c r="M33" s="9"/>
      <c r="N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9"/>
      <c r="M34" s="9"/>
      <c r="N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9"/>
      <c r="M35" s="9"/>
      <c r="N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9"/>
      <c r="M36" s="9"/>
      <c r="N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9"/>
      <c r="M37" s="9"/>
      <c r="N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9"/>
      <c r="M38" s="9"/>
      <c r="N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  <c r="M39" s="21"/>
      <c r="N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8" t="n">
        <f aca="false">COUNTIF(L14:L38,"√")</f>
        <v>0</v>
      </c>
      <c r="M40" s="8" t="n">
        <f aca="false">COUNTIF(M14:M38,"√")</f>
        <v>0</v>
      </c>
      <c r="N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8" t="n">
        <f aca="false">COUNTIF(L14:L38,"X")</f>
        <v>0</v>
      </c>
      <c r="M41" s="8" t="n">
        <f aca="false">COUNTIF(M14:M38,"X")</f>
        <v>0</v>
      </c>
      <c r="N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8" t="n">
        <f aca="false">COUNTIF(L14:L38,"NA")</f>
        <v>0</v>
      </c>
      <c r="M42" s="8" t="n">
        <f aca="false">COUNTIF(M14:M38,"NA")</f>
        <v>0</v>
      </c>
      <c r="N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</row>
    <row r="49" customFormat="false" ht="15" hidden="false" customHeight="true" outlineLevel="0" collapsed="false">
      <c r="A49" s="4" t="s">
        <v>349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customFormat="false" ht="15" hidden="false" customHeight="true" outlineLevel="0" collapsed="false">
      <c r="A50" s="24" t="s">
        <v>350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customFormat="false" ht="15" hidden="false" customHeight="true" outlineLevel="0" collapsed="false">
      <c r="A51" s="24" t="s">
        <v>351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customFormat="false" ht="15" hidden="false" customHeight="true" outlineLevel="0" collapsed="false">
      <c r="A52" s="24" t="s">
        <v>352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customFormat="false" ht="15" hidden="false" customHeight="true" outlineLevel="0" collapsed="false">
      <c r="A53" s="24" t="s">
        <v>353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customFormat="false" ht="15" hidden="false" customHeight="true" outlineLevel="0" collapsed="false">
      <c r="A54" s="24" t="s">
        <v>354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6" customFormat="false" ht="15" hidden="false" customHeight="true" outlineLevel="0" collapsed="false">
      <c r="A56" s="18" t="s">
        <v>249</v>
      </c>
      <c r="B56" s="18"/>
      <c r="C56" s="18"/>
      <c r="D56" s="18"/>
      <c r="E56" s="18"/>
      <c r="F56" s="18" t="s">
        <v>250</v>
      </c>
      <c r="G56" s="18"/>
      <c r="H56" s="18"/>
      <c r="I56" s="18"/>
      <c r="J56" s="18"/>
      <c r="K56" s="18" t="s">
        <v>251</v>
      </c>
      <c r="L56" s="18"/>
      <c r="M56" s="18"/>
      <c r="N56" s="18"/>
    </row>
    <row r="57" customFormat="false" ht="21.75" hidden="false" customHeight="true" outlineLevel="0" collapsed="false">
      <c r="A57" s="5" t="s">
        <v>252</v>
      </c>
      <c r="B57" s="5"/>
      <c r="C57" s="5"/>
      <c r="D57" s="5"/>
      <c r="E57" s="5"/>
      <c r="F57" s="5" t="s">
        <v>252</v>
      </c>
      <c r="G57" s="5"/>
      <c r="H57" s="5"/>
      <c r="I57" s="5"/>
      <c r="J57" s="5"/>
      <c r="K57" s="5" t="s">
        <v>252</v>
      </c>
      <c r="L57" s="5"/>
      <c r="M57" s="5"/>
      <c r="N57" s="5"/>
    </row>
    <row r="58" customFormat="false" ht="21.75" hidden="false" customHeight="true" outlineLevel="0" collapsed="false">
      <c r="A58" s="5" t="s">
        <v>253</v>
      </c>
      <c r="B58" s="5"/>
      <c r="C58" s="5"/>
      <c r="D58" s="5"/>
      <c r="E58" s="5"/>
      <c r="F58" s="5" t="s">
        <v>253</v>
      </c>
      <c r="G58" s="5"/>
      <c r="H58" s="5"/>
      <c r="I58" s="5"/>
      <c r="J58" s="5"/>
      <c r="K58" s="5" t="s">
        <v>253</v>
      </c>
      <c r="L58" s="5"/>
      <c r="M58" s="5"/>
      <c r="N58" s="5"/>
    </row>
    <row r="59" customFormat="false" ht="21.75" hidden="false" customHeight="true" outlineLevel="0" collapsed="false">
      <c r="A59" s="5" t="s">
        <v>254</v>
      </c>
      <c r="B59" s="5"/>
      <c r="C59" s="5"/>
      <c r="D59" s="5"/>
      <c r="E59" s="5"/>
      <c r="F59" s="5" t="s">
        <v>254</v>
      </c>
      <c r="G59" s="5"/>
      <c r="H59" s="5"/>
      <c r="I59" s="5"/>
      <c r="J59" s="5"/>
      <c r="K59" s="5" t="s">
        <v>254</v>
      </c>
      <c r="L59" s="5"/>
      <c r="M59" s="5"/>
      <c r="N59" s="5"/>
    </row>
    <row r="60" customFormat="false" ht="25.5" hidden="false" customHeight="true" outlineLevel="0" collapsed="false">
      <c r="A60" s="25" t="s">
        <v>255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</sheetData>
  <mergeCells count="59">
    <mergeCell ref="A1:N1"/>
    <mergeCell ref="A2:N2"/>
    <mergeCell ref="A3:C3"/>
    <mergeCell ref="D3:F3"/>
    <mergeCell ref="G3:I3"/>
    <mergeCell ref="J3:L3"/>
    <mergeCell ref="M3:N3"/>
    <mergeCell ref="A4:C4"/>
    <mergeCell ref="D4:F4"/>
    <mergeCell ref="G4:I4"/>
    <mergeCell ref="J4:L4"/>
    <mergeCell ref="M4:N4"/>
    <mergeCell ref="A5:N5"/>
    <mergeCell ref="A6:C6"/>
    <mergeCell ref="D6:N6"/>
    <mergeCell ref="A7:C7"/>
    <mergeCell ref="D7:G7"/>
    <mergeCell ref="H7:I7"/>
    <mergeCell ref="J7:N7"/>
    <mergeCell ref="A8:C8"/>
    <mergeCell ref="D8:G8"/>
    <mergeCell ref="H8:I8"/>
    <mergeCell ref="J8:N8"/>
    <mergeCell ref="A9:C9"/>
    <mergeCell ref="D9:G9"/>
    <mergeCell ref="H9:I9"/>
    <mergeCell ref="J9:N9"/>
    <mergeCell ref="A10:N10"/>
    <mergeCell ref="A11:A13"/>
    <mergeCell ref="B11:B13"/>
    <mergeCell ref="C11:C13"/>
    <mergeCell ref="D11:D13"/>
    <mergeCell ref="N11:N13"/>
    <mergeCell ref="A39:D39"/>
    <mergeCell ref="E39:N39"/>
    <mergeCell ref="A40:D40"/>
    <mergeCell ref="A41:D41"/>
    <mergeCell ref="A42:D42"/>
    <mergeCell ref="A44:N44"/>
    <mergeCell ref="A45:N47"/>
    <mergeCell ref="A49:N49"/>
    <mergeCell ref="A50:N50"/>
    <mergeCell ref="A51:N51"/>
    <mergeCell ref="A52:N52"/>
    <mergeCell ref="A53:N53"/>
    <mergeCell ref="A54:N54"/>
    <mergeCell ref="A56:E56"/>
    <mergeCell ref="F56:J56"/>
    <mergeCell ref="K56:N56"/>
    <mergeCell ref="A57:E57"/>
    <mergeCell ref="F57:J57"/>
    <mergeCell ref="K57:N57"/>
    <mergeCell ref="A58:E58"/>
    <mergeCell ref="F58:J58"/>
    <mergeCell ref="K58:N58"/>
    <mergeCell ref="A59:E59"/>
    <mergeCell ref="F59:J59"/>
    <mergeCell ref="K59:N59"/>
    <mergeCell ref="A60:N60"/>
  </mergeCells>
  <conditionalFormatting sqref="E14:M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M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IFSPL/M/CL/007  |  Rev 00  |  Ref: IFSPL/M/SOP/007&amp;C&amp;8 Indus Fire Safety Private Limited – Control Copy&amp;R&amp;8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L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1" min="5" style="0" width="17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  <c r="K3" s="15"/>
      <c r="L3" s="15"/>
    </row>
    <row r="4" customFormat="false" ht="18" hidden="false" customHeight="true" outlineLevel="0" collapsed="false">
      <c r="A4" s="8" t="s">
        <v>58</v>
      </c>
      <c r="B4" s="8"/>
      <c r="C4" s="8" t="s">
        <v>59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  <c r="K4" s="8"/>
      <c r="L4" s="8"/>
    </row>
    <row r="5" customFormat="false" ht="24" hidden="false" customHeight="true" outlineLevel="0" collapsed="false">
      <c r="A5" s="3" t="s">
        <v>355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  <c r="L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  <c r="L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  <c r="L9" s="16"/>
    </row>
    <row r="10" customFormat="false" ht="25.5" hidden="false" customHeight="true" outlineLevel="0" collapsed="false">
      <c r="A10" s="17" t="s">
        <v>356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18" t="s">
        <v>225</v>
      </c>
    </row>
    <row r="12" customFormat="false" ht="66" hidden="false" customHeight="true" outlineLevel="0" collapsed="false">
      <c r="A12" s="18"/>
      <c r="B12" s="18"/>
      <c r="C12" s="18"/>
      <c r="D12" s="18"/>
      <c r="E12" s="19" t="s">
        <v>357</v>
      </c>
      <c r="F12" s="19" t="s">
        <v>358</v>
      </c>
      <c r="G12" s="19" t="s">
        <v>359</v>
      </c>
      <c r="H12" s="19" t="s">
        <v>360</v>
      </c>
      <c r="I12" s="19" t="s">
        <v>361</v>
      </c>
      <c r="J12" s="19" t="s">
        <v>362</v>
      </c>
      <c r="K12" s="19" t="s">
        <v>363</v>
      </c>
      <c r="L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364</v>
      </c>
      <c r="F13" s="20" t="s">
        <v>364</v>
      </c>
      <c r="G13" s="20" t="s">
        <v>236</v>
      </c>
      <c r="H13" s="20" t="s">
        <v>236</v>
      </c>
      <c r="I13" s="20" t="s">
        <v>236</v>
      </c>
      <c r="J13" s="20" t="s">
        <v>236</v>
      </c>
      <c r="K13" s="20" t="s">
        <v>365</v>
      </c>
      <c r="L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9" customFormat="false" ht="15" hidden="false" customHeight="true" outlineLevel="0" collapsed="false">
      <c r="A49" s="4" t="s">
        <v>366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true" outlineLevel="0" collapsed="false">
      <c r="A50" s="24" t="s">
        <v>367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customFormat="false" ht="15" hidden="false" customHeight="true" outlineLevel="0" collapsed="false">
      <c r="A51" s="24" t="s">
        <v>368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customFormat="false" ht="15" hidden="false" customHeight="true" outlineLevel="0" collapsed="false">
      <c r="A52" s="24" t="s">
        <v>369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customFormat="false" ht="15" hidden="false" customHeight="true" outlineLevel="0" collapsed="false">
      <c r="A53" s="24" t="s">
        <v>370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customFormat="false" ht="15" hidden="false" customHeight="true" outlineLevel="0" collapsed="false">
      <c r="A54" s="24" t="s">
        <v>371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6" customFormat="false" ht="15" hidden="false" customHeight="true" outlineLevel="0" collapsed="false">
      <c r="A56" s="18" t="s">
        <v>249</v>
      </c>
      <c r="B56" s="18"/>
      <c r="C56" s="18"/>
      <c r="D56" s="18"/>
      <c r="E56" s="18" t="s">
        <v>250</v>
      </c>
      <c r="F56" s="18"/>
      <c r="G56" s="18"/>
      <c r="H56" s="18"/>
      <c r="I56" s="18" t="s">
        <v>251</v>
      </c>
      <c r="J56" s="18"/>
      <c r="K56" s="18"/>
      <c r="L56" s="18"/>
    </row>
    <row r="57" customFormat="false" ht="21.75" hidden="false" customHeight="true" outlineLevel="0" collapsed="false">
      <c r="A57" s="5" t="s">
        <v>252</v>
      </c>
      <c r="B57" s="5"/>
      <c r="C57" s="5"/>
      <c r="D57" s="5"/>
      <c r="E57" s="5" t="s">
        <v>252</v>
      </c>
      <c r="F57" s="5"/>
      <c r="G57" s="5"/>
      <c r="H57" s="5"/>
      <c r="I57" s="5" t="s">
        <v>252</v>
      </c>
      <c r="J57" s="5"/>
      <c r="K57" s="5"/>
      <c r="L57" s="5"/>
    </row>
    <row r="58" customFormat="false" ht="21.75" hidden="false" customHeight="true" outlineLevel="0" collapsed="false">
      <c r="A58" s="5" t="s">
        <v>253</v>
      </c>
      <c r="B58" s="5"/>
      <c r="C58" s="5"/>
      <c r="D58" s="5"/>
      <c r="E58" s="5" t="s">
        <v>253</v>
      </c>
      <c r="F58" s="5"/>
      <c r="G58" s="5"/>
      <c r="H58" s="5"/>
      <c r="I58" s="5" t="s">
        <v>253</v>
      </c>
      <c r="J58" s="5"/>
      <c r="K58" s="5"/>
      <c r="L58" s="5"/>
    </row>
    <row r="59" customFormat="false" ht="21.75" hidden="false" customHeight="true" outlineLevel="0" collapsed="false">
      <c r="A59" s="5" t="s">
        <v>254</v>
      </c>
      <c r="B59" s="5"/>
      <c r="C59" s="5"/>
      <c r="D59" s="5"/>
      <c r="E59" s="5" t="s">
        <v>254</v>
      </c>
      <c r="F59" s="5"/>
      <c r="G59" s="5"/>
      <c r="H59" s="5"/>
      <c r="I59" s="5" t="s">
        <v>254</v>
      </c>
      <c r="J59" s="5"/>
      <c r="K59" s="5"/>
      <c r="L59" s="5"/>
    </row>
    <row r="60" customFormat="false" ht="25.5" hidden="false" customHeight="true" outlineLevel="0" collapsed="false">
      <c r="A60" s="25" t="s">
        <v>255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</sheetData>
  <mergeCells count="59">
    <mergeCell ref="A1:L1"/>
    <mergeCell ref="A2:L2"/>
    <mergeCell ref="A3:B3"/>
    <mergeCell ref="C3:D3"/>
    <mergeCell ref="E3:F3"/>
    <mergeCell ref="G3:H3"/>
    <mergeCell ref="I3:L3"/>
    <mergeCell ref="A4:B4"/>
    <mergeCell ref="C4:D4"/>
    <mergeCell ref="E4:F4"/>
    <mergeCell ref="G4:H4"/>
    <mergeCell ref="I4:L4"/>
    <mergeCell ref="A5:L5"/>
    <mergeCell ref="A6:C6"/>
    <mergeCell ref="D6:L6"/>
    <mergeCell ref="A7:C7"/>
    <mergeCell ref="D7:F7"/>
    <mergeCell ref="G7:H7"/>
    <mergeCell ref="I7:L7"/>
    <mergeCell ref="A8:C8"/>
    <mergeCell ref="D8:F8"/>
    <mergeCell ref="G8:H8"/>
    <mergeCell ref="I8:L8"/>
    <mergeCell ref="A9:C9"/>
    <mergeCell ref="D9:F9"/>
    <mergeCell ref="G9:H9"/>
    <mergeCell ref="I9:L9"/>
    <mergeCell ref="A10:L10"/>
    <mergeCell ref="A11:A13"/>
    <mergeCell ref="B11:B13"/>
    <mergeCell ref="C11:C13"/>
    <mergeCell ref="D11:D13"/>
    <mergeCell ref="L11:L13"/>
    <mergeCell ref="A39:D39"/>
    <mergeCell ref="E39:L39"/>
    <mergeCell ref="A40:D40"/>
    <mergeCell ref="A41:D41"/>
    <mergeCell ref="A42:D42"/>
    <mergeCell ref="A44:L44"/>
    <mergeCell ref="A45:L47"/>
    <mergeCell ref="A49:L49"/>
    <mergeCell ref="A50:L50"/>
    <mergeCell ref="A51:L51"/>
    <mergeCell ref="A52:L52"/>
    <mergeCell ref="A53:L53"/>
    <mergeCell ref="A54:L54"/>
    <mergeCell ref="A56:D56"/>
    <mergeCell ref="E56:H56"/>
    <mergeCell ref="I56:L56"/>
    <mergeCell ref="A57:D57"/>
    <mergeCell ref="E57:H57"/>
    <mergeCell ref="I57:L57"/>
    <mergeCell ref="A58:D58"/>
    <mergeCell ref="E58:H58"/>
    <mergeCell ref="I58:L58"/>
    <mergeCell ref="A59:D59"/>
    <mergeCell ref="E59:H59"/>
    <mergeCell ref="I59:L59"/>
    <mergeCell ref="A60:L60"/>
  </mergeCells>
  <conditionalFormatting sqref="E14:K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K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IFSPL/M/CL/008  |  Rev 00  |  Ref: IFSPL/M/SOP/008&amp;C&amp;8 Indus Fire Safety Private Limited – Control Copy&amp;R&amp;8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L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1" min="5" style="0" width="17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  <c r="K3" s="15"/>
      <c r="L3" s="15"/>
    </row>
    <row r="4" customFormat="false" ht="18" hidden="false" customHeight="true" outlineLevel="0" collapsed="false">
      <c r="A4" s="8" t="s">
        <v>62</v>
      </c>
      <c r="B4" s="8"/>
      <c r="C4" s="8" t="s">
        <v>63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  <c r="K4" s="8"/>
      <c r="L4" s="8"/>
    </row>
    <row r="5" customFormat="false" ht="24" hidden="false" customHeight="true" outlineLevel="0" collapsed="false">
      <c r="A5" s="3" t="s">
        <v>372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  <c r="L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  <c r="L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  <c r="L9" s="16"/>
    </row>
    <row r="10" customFormat="false" ht="25.5" hidden="false" customHeight="true" outlineLevel="0" collapsed="false">
      <c r="A10" s="17" t="s">
        <v>373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18" t="s">
        <v>225</v>
      </c>
    </row>
    <row r="12" customFormat="false" ht="42" hidden="false" customHeight="true" outlineLevel="0" collapsed="false">
      <c r="A12" s="18"/>
      <c r="B12" s="18"/>
      <c r="C12" s="18"/>
      <c r="D12" s="18"/>
      <c r="E12" s="19" t="s">
        <v>374</v>
      </c>
      <c r="F12" s="19" t="s">
        <v>375</v>
      </c>
      <c r="G12" s="19" t="s">
        <v>376</v>
      </c>
      <c r="H12" s="19" t="s">
        <v>377</v>
      </c>
      <c r="I12" s="19" t="s">
        <v>378</v>
      </c>
      <c r="J12" s="19" t="s">
        <v>379</v>
      </c>
      <c r="K12" s="19" t="s">
        <v>380</v>
      </c>
      <c r="L12" s="18"/>
    </row>
    <row r="13" customFormat="false" ht="27.75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236</v>
      </c>
      <c r="H13" s="20" t="s">
        <v>236</v>
      </c>
      <c r="I13" s="20" t="s">
        <v>237</v>
      </c>
      <c r="J13" s="20" t="s">
        <v>237</v>
      </c>
      <c r="K13" s="20" t="s">
        <v>238</v>
      </c>
      <c r="L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9" customFormat="false" ht="15" hidden="false" customHeight="true" outlineLevel="0" collapsed="false">
      <c r="A49" s="4" t="s">
        <v>381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true" outlineLevel="0" collapsed="false">
      <c r="A50" s="24" t="s">
        <v>382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customFormat="false" ht="15" hidden="false" customHeight="true" outlineLevel="0" collapsed="false">
      <c r="A51" s="24" t="s">
        <v>383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customFormat="false" ht="15" hidden="false" customHeight="true" outlineLevel="0" collapsed="false">
      <c r="A52" s="24" t="s">
        <v>384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customFormat="false" ht="15" hidden="false" customHeight="true" outlineLevel="0" collapsed="false">
      <c r="A53" s="24" t="s">
        <v>385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customFormat="false" ht="15" hidden="false" customHeight="true" outlineLevel="0" collapsed="false">
      <c r="A54" s="24" t="s">
        <v>386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6" customFormat="false" ht="15" hidden="false" customHeight="true" outlineLevel="0" collapsed="false">
      <c r="A56" s="18" t="s">
        <v>249</v>
      </c>
      <c r="B56" s="18"/>
      <c r="C56" s="18"/>
      <c r="D56" s="18"/>
      <c r="E56" s="18" t="s">
        <v>250</v>
      </c>
      <c r="F56" s="18"/>
      <c r="G56" s="18"/>
      <c r="H56" s="18"/>
      <c r="I56" s="18" t="s">
        <v>251</v>
      </c>
      <c r="J56" s="18"/>
      <c r="K56" s="18"/>
      <c r="L56" s="18"/>
    </row>
    <row r="57" customFormat="false" ht="21.75" hidden="false" customHeight="true" outlineLevel="0" collapsed="false">
      <c r="A57" s="5" t="s">
        <v>252</v>
      </c>
      <c r="B57" s="5"/>
      <c r="C57" s="5"/>
      <c r="D57" s="5"/>
      <c r="E57" s="5" t="s">
        <v>252</v>
      </c>
      <c r="F57" s="5"/>
      <c r="G57" s="5"/>
      <c r="H57" s="5"/>
      <c r="I57" s="5" t="s">
        <v>252</v>
      </c>
      <c r="J57" s="5"/>
      <c r="K57" s="5"/>
      <c r="L57" s="5"/>
    </row>
    <row r="58" customFormat="false" ht="21.75" hidden="false" customHeight="true" outlineLevel="0" collapsed="false">
      <c r="A58" s="5" t="s">
        <v>253</v>
      </c>
      <c r="B58" s="5"/>
      <c r="C58" s="5"/>
      <c r="D58" s="5"/>
      <c r="E58" s="5" t="s">
        <v>253</v>
      </c>
      <c r="F58" s="5"/>
      <c r="G58" s="5"/>
      <c r="H58" s="5"/>
      <c r="I58" s="5" t="s">
        <v>253</v>
      </c>
      <c r="J58" s="5"/>
      <c r="K58" s="5"/>
      <c r="L58" s="5"/>
    </row>
    <row r="59" customFormat="false" ht="21.75" hidden="false" customHeight="true" outlineLevel="0" collapsed="false">
      <c r="A59" s="5" t="s">
        <v>254</v>
      </c>
      <c r="B59" s="5"/>
      <c r="C59" s="5"/>
      <c r="D59" s="5"/>
      <c r="E59" s="5" t="s">
        <v>254</v>
      </c>
      <c r="F59" s="5"/>
      <c r="G59" s="5"/>
      <c r="H59" s="5"/>
      <c r="I59" s="5" t="s">
        <v>254</v>
      </c>
      <c r="J59" s="5"/>
      <c r="K59" s="5"/>
      <c r="L59" s="5"/>
    </row>
    <row r="60" customFormat="false" ht="25.5" hidden="false" customHeight="true" outlineLevel="0" collapsed="false">
      <c r="A60" s="25" t="s">
        <v>255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</sheetData>
  <mergeCells count="59">
    <mergeCell ref="A1:L1"/>
    <mergeCell ref="A2:L2"/>
    <mergeCell ref="A3:B3"/>
    <mergeCell ref="C3:D3"/>
    <mergeCell ref="E3:F3"/>
    <mergeCell ref="G3:H3"/>
    <mergeCell ref="I3:L3"/>
    <mergeCell ref="A4:B4"/>
    <mergeCell ref="C4:D4"/>
    <mergeCell ref="E4:F4"/>
    <mergeCell ref="G4:H4"/>
    <mergeCell ref="I4:L4"/>
    <mergeCell ref="A5:L5"/>
    <mergeCell ref="A6:C6"/>
    <mergeCell ref="D6:L6"/>
    <mergeCell ref="A7:C7"/>
    <mergeCell ref="D7:F7"/>
    <mergeCell ref="G7:H7"/>
    <mergeCell ref="I7:L7"/>
    <mergeCell ref="A8:C8"/>
    <mergeCell ref="D8:F8"/>
    <mergeCell ref="G8:H8"/>
    <mergeCell ref="I8:L8"/>
    <mergeCell ref="A9:C9"/>
    <mergeCell ref="D9:F9"/>
    <mergeCell ref="G9:H9"/>
    <mergeCell ref="I9:L9"/>
    <mergeCell ref="A10:L10"/>
    <mergeCell ref="A11:A13"/>
    <mergeCell ref="B11:B13"/>
    <mergeCell ref="C11:C13"/>
    <mergeCell ref="D11:D13"/>
    <mergeCell ref="L11:L13"/>
    <mergeCell ref="A39:D39"/>
    <mergeCell ref="E39:L39"/>
    <mergeCell ref="A40:D40"/>
    <mergeCell ref="A41:D41"/>
    <mergeCell ref="A42:D42"/>
    <mergeCell ref="A44:L44"/>
    <mergeCell ref="A45:L47"/>
    <mergeCell ref="A49:L49"/>
    <mergeCell ref="A50:L50"/>
    <mergeCell ref="A51:L51"/>
    <mergeCell ref="A52:L52"/>
    <mergeCell ref="A53:L53"/>
    <mergeCell ref="A54:L54"/>
    <mergeCell ref="A56:D56"/>
    <mergeCell ref="E56:H56"/>
    <mergeCell ref="I56:L56"/>
    <mergeCell ref="A57:D57"/>
    <mergeCell ref="E57:H57"/>
    <mergeCell ref="I57:L57"/>
    <mergeCell ref="A58:D58"/>
    <mergeCell ref="E58:H58"/>
    <mergeCell ref="I58:L58"/>
    <mergeCell ref="A59:D59"/>
    <mergeCell ref="E59:H59"/>
    <mergeCell ref="I59:L59"/>
    <mergeCell ref="A60:L60"/>
  </mergeCells>
  <conditionalFormatting sqref="E14:K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K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IFSPL/M/CL/009  |  Rev 00  |  Ref: IFSPL/M/SOP/009&amp;C&amp;8 Indus Fire Safety Private Limited – Control Copy&amp;R&amp;8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L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1" min="5" style="0" width="17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  <c r="K3" s="15"/>
      <c r="L3" s="15"/>
    </row>
    <row r="4" customFormat="false" ht="18" hidden="false" customHeight="true" outlineLevel="0" collapsed="false">
      <c r="A4" s="8" t="s">
        <v>67</v>
      </c>
      <c r="B4" s="8"/>
      <c r="C4" s="8" t="s">
        <v>68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  <c r="K4" s="8"/>
      <c r="L4" s="8"/>
    </row>
    <row r="5" customFormat="false" ht="24" hidden="false" customHeight="true" outlineLevel="0" collapsed="false">
      <c r="A5" s="3" t="s">
        <v>387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  <c r="L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  <c r="L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  <c r="L9" s="16"/>
    </row>
    <row r="10" customFormat="false" ht="25.5" hidden="false" customHeight="true" outlineLevel="0" collapsed="false">
      <c r="A10" s="17" t="s">
        <v>388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18" t="s">
        <v>225</v>
      </c>
    </row>
    <row r="12" customFormat="false" ht="54" hidden="false" customHeight="true" outlineLevel="0" collapsed="false">
      <c r="A12" s="18"/>
      <c r="B12" s="18"/>
      <c r="C12" s="18"/>
      <c r="D12" s="18"/>
      <c r="E12" s="19" t="s">
        <v>389</v>
      </c>
      <c r="F12" s="19" t="s">
        <v>390</v>
      </c>
      <c r="G12" s="19" t="s">
        <v>391</v>
      </c>
      <c r="H12" s="19" t="s">
        <v>392</v>
      </c>
      <c r="I12" s="19" t="s">
        <v>393</v>
      </c>
      <c r="J12" s="19" t="s">
        <v>394</v>
      </c>
      <c r="K12" s="19" t="s">
        <v>380</v>
      </c>
      <c r="L12" s="18"/>
    </row>
    <row r="13" customFormat="false" ht="27.75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236</v>
      </c>
      <c r="H13" s="20" t="s">
        <v>236</v>
      </c>
      <c r="I13" s="20" t="s">
        <v>236</v>
      </c>
      <c r="J13" s="20" t="s">
        <v>236</v>
      </c>
      <c r="K13" s="20" t="s">
        <v>238</v>
      </c>
      <c r="L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9" customFormat="false" ht="15" hidden="false" customHeight="true" outlineLevel="0" collapsed="false">
      <c r="A49" s="4" t="s">
        <v>395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27" hidden="false" customHeight="true" outlineLevel="0" collapsed="false">
      <c r="A50" s="24" t="s">
        <v>396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customFormat="false" ht="15" hidden="false" customHeight="true" outlineLevel="0" collapsed="false">
      <c r="A51" s="24" t="s">
        <v>397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customFormat="false" ht="15" hidden="false" customHeight="true" outlineLevel="0" collapsed="false">
      <c r="A52" s="24" t="s">
        <v>398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customFormat="false" ht="15" hidden="false" customHeight="true" outlineLevel="0" collapsed="false">
      <c r="A53" s="24" t="s">
        <v>399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customFormat="false" ht="15" hidden="false" customHeight="true" outlineLevel="0" collapsed="false">
      <c r="A54" s="24" t="s">
        <v>400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6" customFormat="false" ht="15" hidden="false" customHeight="true" outlineLevel="0" collapsed="false">
      <c r="A56" s="18" t="s">
        <v>249</v>
      </c>
      <c r="B56" s="18"/>
      <c r="C56" s="18"/>
      <c r="D56" s="18"/>
      <c r="E56" s="18" t="s">
        <v>250</v>
      </c>
      <c r="F56" s="18"/>
      <c r="G56" s="18"/>
      <c r="H56" s="18"/>
      <c r="I56" s="18" t="s">
        <v>251</v>
      </c>
      <c r="J56" s="18"/>
      <c r="K56" s="18"/>
      <c r="L56" s="18"/>
    </row>
    <row r="57" customFormat="false" ht="21.75" hidden="false" customHeight="true" outlineLevel="0" collapsed="false">
      <c r="A57" s="5" t="s">
        <v>252</v>
      </c>
      <c r="B57" s="5"/>
      <c r="C57" s="5"/>
      <c r="D57" s="5"/>
      <c r="E57" s="5" t="s">
        <v>252</v>
      </c>
      <c r="F57" s="5"/>
      <c r="G57" s="5"/>
      <c r="H57" s="5"/>
      <c r="I57" s="5" t="s">
        <v>252</v>
      </c>
      <c r="J57" s="5"/>
      <c r="K57" s="5"/>
      <c r="L57" s="5"/>
    </row>
    <row r="58" customFormat="false" ht="21.75" hidden="false" customHeight="true" outlineLevel="0" collapsed="false">
      <c r="A58" s="5" t="s">
        <v>253</v>
      </c>
      <c r="B58" s="5"/>
      <c r="C58" s="5"/>
      <c r="D58" s="5"/>
      <c r="E58" s="5" t="s">
        <v>253</v>
      </c>
      <c r="F58" s="5"/>
      <c r="G58" s="5"/>
      <c r="H58" s="5"/>
      <c r="I58" s="5" t="s">
        <v>253</v>
      </c>
      <c r="J58" s="5"/>
      <c r="K58" s="5"/>
      <c r="L58" s="5"/>
    </row>
    <row r="59" customFormat="false" ht="21.75" hidden="false" customHeight="true" outlineLevel="0" collapsed="false">
      <c r="A59" s="5" t="s">
        <v>254</v>
      </c>
      <c r="B59" s="5"/>
      <c r="C59" s="5"/>
      <c r="D59" s="5"/>
      <c r="E59" s="5" t="s">
        <v>254</v>
      </c>
      <c r="F59" s="5"/>
      <c r="G59" s="5"/>
      <c r="H59" s="5"/>
      <c r="I59" s="5" t="s">
        <v>254</v>
      </c>
      <c r="J59" s="5"/>
      <c r="K59" s="5"/>
      <c r="L59" s="5"/>
    </row>
    <row r="60" customFormat="false" ht="25.5" hidden="false" customHeight="true" outlineLevel="0" collapsed="false">
      <c r="A60" s="25" t="s">
        <v>255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</sheetData>
  <mergeCells count="59">
    <mergeCell ref="A1:L1"/>
    <mergeCell ref="A2:L2"/>
    <mergeCell ref="A3:B3"/>
    <mergeCell ref="C3:D3"/>
    <mergeCell ref="E3:F3"/>
    <mergeCell ref="G3:H3"/>
    <mergeCell ref="I3:L3"/>
    <mergeCell ref="A4:B4"/>
    <mergeCell ref="C4:D4"/>
    <mergeCell ref="E4:F4"/>
    <mergeCell ref="G4:H4"/>
    <mergeCell ref="I4:L4"/>
    <mergeCell ref="A5:L5"/>
    <mergeCell ref="A6:C6"/>
    <mergeCell ref="D6:L6"/>
    <mergeCell ref="A7:C7"/>
    <mergeCell ref="D7:F7"/>
    <mergeCell ref="G7:H7"/>
    <mergeCell ref="I7:L7"/>
    <mergeCell ref="A8:C8"/>
    <mergeCell ref="D8:F8"/>
    <mergeCell ref="G8:H8"/>
    <mergeCell ref="I8:L8"/>
    <mergeCell ref="A9:C9"/>
    <mergeCell ref="D9:F9"/>
    <mergeCell ref="G9:H9"/>
    <mergeCell ref="I9:L9"/>
    <mergeCell ref="A10:L10"/>
    <mergeCell ref="A11:A13"/>
    <mergeCell ref="B11:B13"/>
    <mergeCell ref="C11:C13"/>
    <mergeCell ref="D11:D13"/>
    <mergeCell ref="L11:L13"/>
    <mergeCell ref="A39:D39"/>
    <mergeCell ref="E39:L39"/>
    <mergeCell ref="A40:D40"/>
    <mergeCell ref="A41:D41"/>
    <mergeCell ref="A42:D42"/>
    <mergeCell ref="A44:L44"/>
    <mergeCell ref="A45:L47"/>
    <mergeCell ref="A49:L49"/>
    <mergeCell ref="A50:L50"/>
    <mergeCell ref="A51:L51"/>
    <mergeCell ref="A52:L52"/>
    <mergeCell ref="A53:L53"/>
    <mergeCell ref="A54:L54"/>
    <mergeCell ref="A56:D56"/>
    <mergeCell ref="E56:H56"/>
    <mergeCell ref="I56:L56"/>
    <mergeCell ref="A57:D57"/>
    <mergeCell ref="E57:H57"/>
    <mergeCell ref="I57:L57"/>
    <mergeCell ref="A58:D58"/>
    <mergeCell ref="E58:H58"/>
    <mergeCell ref="I58:L58"/>
    <mergeCell ref="A59:D59"/>
    <mergeCell ref="E59:H59"/>
    <mergeCell ref="I59:L59"/>
    <mergeCell ref="A60:L60"/>
  </mergeCells>
  <conditionalFormatting sqref="E14:K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K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IFSPL/M/CL/010  |  Rev 00  |  Ref: IFSPL/M/SOP/010&amp;C&amp;8 Indus Fire Safety Private Limited – Control Copy&amp;R&amp;8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3" min="5" style="0" width="17"/>
    <col collapsed="false" customWidth="true" hidden="false" outlineLevel="0" max="14" min="14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3.5" hidden="false" customHeight="true" outlineLevel="0" collapsed="false">
      <c r="A3" s="15" t="s">
        <v>17</v>
      </c>
      <c r="B3" s="15"/>
      <c r="C3" s="15"/>
      <c r="D3" s="15" t="s">
        <v>197</v>
      </c>
      <c r="E3" s="15"/>
      <c r="F3" s="15"/>
      <c r="G3" s="15" t="s">
        <v>5</v>
      </c>
      <c r="H3" s="15"/>
      <c r="I3" s="15"/>
      <c r="J3" s="15" t="s">
        <v>7</v>
      </c>
      <c r="K3" s="15"/>
      <c r="L3" s="15"/>
      <c r="M3" s="15" t="s">
        <v>198</v>
      </c>
      <c r="N3" s="15"/>
    </row>
    <row r="4" customFormat="false" ht="18" hidden="false" customHeight="true" outlineLevel="0" collapsed="false">
      <c r="A4" s="8" t="s">
        <v>71</v>
      </c>
      <c r="B4" s="8"/>
      <c r="C4" s="8"/>
      <c r="D4" s="8" t="s">
        <v>72</v>
      </c>
      <c r="E4" s="8"/>
      <c r="F4" s="8"/>
      <c r="G4" s="8" t="s">
        <v>6</v>
      </c>
      <c r="H4" s="8"/>
      <c r="I4" s="8"/>
      <c r="J4" s="8" t="s">
        <v>199</v>
      </c>
      <c r="K4" s="8"/>
      <c r="L4" s="8"/>
      <c r="M4" s="8" t="s">
        <v>200</v>
      </c>
      <c r="N4" s="8"/>
    </row>
    <row r="5" customFormat="false" ht="24" hidden="false" customHeight="true" outlineLevel="0" collapsed="false">
      <c r="A5" s="3" t="s">
        <v>401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16"/>
      <c r="H7" s="4" t="s">
        <v>204</v>
      </c>
      <c r="I7" s="4"/>
      <c r="J7" s="16" t="s">
        <v>205</v>
      </c>
      <c r="K7" s="16"/>
      <c r="L7" s="16"/>
      <c r="M7" s="16"/>
      <c r="N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16"/>
      <c r="H8" s="4" t="s">
        <v>207</v>
      </c>
      <c r="I8" s="4"/>
      <c r="J8" s="16"/>
      <c r="K8" s="16"/>
      <c r="L8" s="16"/>
      <c r="M8" s="16"/>
      <c r="N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16"/>
      <c r="H9" s="4" t="s">
        <v>209</v>
      </c>
      <c r="I9" s="4"/>
      <c r="J9" s="16"/>
      <c r="K9" s="16"/>
      <c r="L9" s="16"/>
      <c r="M9" s="16"/>
      <c r="N9" s="16"/>
    </row>
    <row r="10" customFormat="false" ht="25.5" hidden="false" customHeight="true" outlineLevel="0" collapsed="false">
      <c r="A10" s="17" t="s">
        <v>402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7" t="s">
        <v>222</v>
      </c>
      <c r="M11" s="7" t="s">
        <v>223</v>
      </c>
      <c r="N11" s="18" t="s">
        <v>225</v>
      </c>
    </row>
    <row r="12" customFormat="false" ht="54" hidden="false" customHeight="true" outlineLevel="0" collapsed="false">
      <c r="A12" s="18"/>
      <c r="B12" s="18"/>
      <c r="C12" s="18"/>
      <c r="D12" s="18"/>
      <c r="E12" s="19" t="s">
        <v>403</v>
      </c>
      <c r="F12" s="19" t="s">
        <v>404</v>
      </c>
      <c r="G12" s="19" t="s">
        <v>405</v>
      </c>
      <c r="H12" s="19" t="s">
        <v>406</v>
      </c>
      <c r="I12" s="19" t="s">
        <v>407</v>
      </c>
      <c r="J12" s="19" t="s">
        <v>408</v>
      </c>
      <c r="K12" s="19" t="s">
        <v>409</v>
      </c>
      <c r="L12" s="19" t="s">
        <v>410</v>
      </c>
      <c r="M12" s="19" t="s">
        <v>411</v>
      </c>
      <c r="N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412</v>
      </c>
      <c r="F13" s="20" t="s">
        <v>413</v>
      </c>
      <c r="G13" s="20" t="s">
        <v>413</v>
      </c>
      <c r="H13" s="20" t="s">
        <v>413</v>
      </c>
      <c r="I13" s="20" t="s">
        <v>413</v>
      </c>
      <c r="J13" s="20" t="s">
        <v>413</v>
      </c>
      <c r="K13" s="20" t="s">
        <v>414</v>
      </c>
      <c r="L13" s="20" t="s">
        <v>413</v>
      </c>
      <c r="M13" s="20" t="s">
        <v>415</v>
      </c>
      <c r="N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9"/>
      <c r="M14" s="9"/>
      <c r="N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9"/>
      <c r="M15" s="9"/>
      <c r="N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9"/>
      <c r="M16" s="9"/>
      <c r="N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9"/>
      <c r="M17" s="9"/>
      <c r="N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9"/>
      <c r="M18" s="9"/>
      <c r="N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9"/>
      <c r="M19" s="9"/>
      <c r="N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9"/>
      <c r="M20" s="9"/>
      <c r="N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9"/>
      <c r="M21" s="9"/>
      <c r="N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9"/>
      <c r="M22" s="9"/>
      <c r="N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9"/>
      <c r="M23" s="9"/>
      <c r="N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9"/>
      <c r="M24" s="9"/>
      <c r="N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9"/>
      <c r="M25" s="9"/>
      <c r="N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9"/>
      <c r="M26" s="9"/>
      <c r="N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9"/>
      <c r="M27" s="9"/>
      <c r="N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9"/>
      <c r="M28" s="9"/>
      <c r="N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9"/>
      <c r="M29" s="9"/>
      <c r="N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9"/>
      <c r="M30" s="9"/>
      <c r="N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9"/>
      <c r="M31" s="9"/>
      <c r="N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9"/>
      <c r="M32" s="9"/>
      <c r="N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9"/>
      <c r="M33" s="9"/>
      <c r="N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9"/>
      <c r="M34" s="9"/>
      <c r="N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9"/>
      <c r="M35" s="9"/>
      <c r="N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9"/>
      <c r="M36" s="9"/>
      <c r="N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9"/>
      <c r="M37" s="9"/>
      <c r="N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9"/>
      <c r="M38" s="9"/>
      <c r="N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  <c r="M39" s="21"/>
      <c r="N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8" t="n">
        <f aca="false">COUNTIF(L14:L38,"√")</f>
        <v>0</v>
      </c>
      <c r="M40" s="8" t="n">
        <f aca="false">COUNTIF(M14:M38,"√")</f>
        <v>0</v>
      </c>
      <c r="N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8" t="n">
        <f aca="false">COUNTIF(L14:L38,"X")</f>
        <v>0</v>
      </c>
      <c r="M41" s="8" t="n">
        <f aca="false">COUNTIF(M14:M38,"X")</f>
        <v>0</v>
      </c>
      <c r="N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8" t="n">
        <f aca="false">COUNTIF(L14:L38,"NA")</f>
        <v>0</v>
      </c>
      <c r="M42" s="8" t="n">
        <f aca="false">COUNTIF(M14:M38,"NA")</f>
        <v>0</v>
      </c>
      <c r="N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</row>
    <row r="49" customFormat="false" ht="15" hidden="false" customHeight="true" outlineLevel="0" collapsed="false">
      <c r="A49" s="4" t="s">
        <v>416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customFormat="false" ht="15" hidden="false" customHeight="true" outlineLevel="0" collapsed="false">
      <c r="A50" s="24" t="s">
        <v>417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customFormat="false" ht="15" hidden="false" customHeight="true" outlineLevel="0" collapsed="false">
      <c r="A51" s="24" t="s">
        <v>418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customFormat="false" ht="15" hidden="false" customHeight="true" outlineLevel="0" collapsed="false">
      <c r="A52" s="24" t="s">
        <v>419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customFormat="false" ht="15" hidden="false" customHeight="true" outlineLevel="0" collapsed="false">
      <c r="A53" s="24" t="s">
        <v>420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customFormat="false" ht="15" hidden="false" customHeight="true" outlineLevel="0" collapsed="false">
      <c r="A54" s="24" t="s">
        <v>421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6" customFormat="false" ht="15" hidden="false" customHeight="true" outlineLevel="0" collapsed="false">
      <c r="A56" s="18" t="s">
        <v>249</v>
      </c>
      <c r="B56" s="18"/>
      <c r="C56" s="18"/>
      <c r="D56" s="18"/>
      <c r="E56" s="18"/>
      <c r="F56" s="18" t="s">
        <v>250</v>
      </c>
      <c r="G56" s="18"/>
      <c r="H56" s="18"/>
      <c r="I56" s="18"/>
      <c r="J56" s="18"/>
      <c r="K56" s="18" t="s">
        <v>251</v>
      </c>
      <c r="L56" s="18"/>
      <c r="M56" s="18"/>
      <c r="N56" s="18"/>
    </row>
    <row r="57" customFormat="false" ht="21.75" hidden="false" customHeight="true" outlineLevel="0" collapsed="false">
      <c r="A57" s="5" t="s">
        <v>252</v>
      </c>
      <c r="B57" s="5"/>
      <c r="C57" s="5"/>
      <c r="D57" s="5"/>
      <c r="E57" s="5"/>
      <c r="F57" s="5" t="s">
        <v>252</v>
      </c>
      <c r="G57" s="5"/>
      <c r="H57" s="5"/>
      <c r="I57" s="5"/>
      <c r="J57" s="5"/>
      <c r="K57" s="5" t="s">
        <v>252</v>
      </c>
      <c r="L57" s="5"/>
      <c r="M57" s="5"/>
      <c r="N57" s="5"/>
    </row>
    <row r="58" customFormat="false" ht="21.75" hidden="false" customHeight="true" outlineLevel="0" collapsed="false">
      <c r="A58" s="5" t="s">
        <v>253</v>
      </c>
      <c r="B58" s="5"/>
      <c r="C58" s="5"/>
      <c r="D58" s="5"/>
      <c r="E58" s="5"/>
      <c r="F58" s="5" t="s">
        <v>253</v>
      </c>
      <c r="G58" s="5"/>
      <c r="H58" s="5"/>
      <c r="I58" s="5"/>
      <c r="J58" s="5"/>
      <c r="K58" s="5" t="s">
        <v>253</v>
      </c>
      <c r="L58" s="5"/>
      <c r="M58" s="5"/>
      <c r="N58" s="5"/>
    </row>
    <row r="59" customFormat="false" ht="21.75" hidden="false" customHeight="true" outlineLevel="0" collapsed="false">
      <c r="A59" s="5" t="s">
        <v>254</v>
      </c>
      <c r="B59" s="5"/>
      <c r="C59" s="5"/>
      <c r="D59" s="5"/>
      <c r="E59" s="5"/>
      <c r="F59" s="5" t="s">
        <v>254</v>
      </c>
      <c r="G59" s="5"/>
      <c r="H59" s="5"/>
      <c r="I59" s="5"/>
      <c r="J59" s="5"/>
      <c r="K59" s="5" t="s">
        <v>254</v>
      </c>
      <c r="L59" s="5"/>
      <c r="M59" s="5"/>
      <c r="N59" s="5"/>
    </row>
    <row r="60" customFormat="false" ht="25.5" hidden="false" customHeight="true" outlineLevel="0" collapsed="false">
      <c r="A60" s="25" t="s">
        <v>255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</sheetData>
  <mergeCells count="59">
    <mergeCell ref="A1:N1"/>
    <mergeCell ref="A2:N2"/>
    <mergeCell ref="A3:C3"/>
    <mergeCell ref="D3:F3"/>
    <mergeCell ref="G3:I3"/>
    <mergeCell ref="J3:L3"/>
    <mergeCell ref="M3:N3"/>
    <mergeCell ref="A4:C4"/>
    <mergeCell ref="D4:F4"/>
    <mergeCell ref="G4:I4"/>
    <mergeCell ref="J4:L4"/>
    <mergeCell ref="M4:N4"/>
    <mergeCell ref="A5:N5"/>
    <mergeCell ref="A6:C6"/>
    <mergeCell ref="D6:N6"/>
    <mergeCell ref="A7:C7"/>
    <mergeCell ref="D7:G7"/>
    <mergeCell ref="H7:I7"/>
    <mergeCell ref="J7:N7"/>
    <mergeCell ref="A8:C8"/>
    <mergeCell ref="D8:G8"/>
    <mergeCell ref="H8:I8"/>
    <mergeCell ref="J8:N8"/>
    <mergeCell ref="A9:C9"/>
    <mergeCell ref="D9:G9"/>
    <mergeCell ref="H9:I9"/>
    <mergeCell ref="J9:N9"/>
    <mergeCell ref="A10:N10"/>
    <mergeCell ref="A11:A13"/>
    <mergeCell ref="B11:B13"/>
    <mergeCell ref="C11:C13"/>
    <mergeCell ref="D11:D13"/>
    <mergeCell ref="N11:N13"/>
    <mergeCell ref="A39:D39"/>
    <mergeCell ref="E39:N39"/>
    <mergeCell ref="A40:D40"/>
    <mergeCell ref="A41:D41"/>
    <mergeCell ref="A42:D42"/>
    <mergeCell ref="A44:N44"/>
    <mergeCell ref="A45:N47"/>
    <mergeCell ref="A49:N49"/>
    <mergeCell ref="A50:N50"/>
    <mergeCell ref="A51:N51"/>
    <mergeCell ref="A52:N52"/>
    <mergeCell ref="A53:N53"/>
    <mergeCell ref="A54:N54"/>
    <mergeCell ref="A56:E56"/>
    <mergeCell ref="F56:J56"/>
    <mergeCell ref="K56:N56"/>
    <mergeCell ref="A57:E57"/>
    <mergeCell ref="F57:J57"/>
    <mergeCell ref="K57:N57"/>
    <mergeCell ref="A58:E58"/>
    <mergeCell ref="F58:J58"/>
    <mergeCell ref="K58:N58"/>
    <mergeCell ref="A59:E59"/>
    <mergeCell ref="F59:J59"/>
    <mergeCell ref="K59:N59"/>
    <mergeCell ref="A60:N60"/>
  </mergeCells>
  <conditionalFormatting sqref="E14:M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M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IFSPL/M/CL/011  |  Rev 00  |  Ref: IFSPL/M/SOP/011&amp;C&amp;8 Indus Fire Safety Private Limited – Control Copy&amp;R&amp;8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L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1" min="5" style="0" width="17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  <c r="K3" s="15"/>
      <c r="L3" s="15"/>
    </row>
    <row r="4" customFormat="false" ht="18" hidden="false" customHeight="true" outlineLevel="0" collapsed="false">
      <c r="A4" s="8" t="s">
        <v>76</v>
      </c>
      <c r="B4" s="8"/>
      <c r="C4" s="8" t="s">
        <v>77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  <c r="K4" s="8"/>
      <c r="L4" s="8"/>
    </row>
    <row r="5" customFormat="false" ht="24" hidden="false" customHeight="true" outlineLevel="0" collapsed="false">
      <c r="A5" s="3" t="s">
        <v>422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  <c r="L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  <c r="L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  <c r="L9" s="16"/>
    </row>
    <row r="10" customFormat="false" ht="25.5" hidden="false" customHeight="true" outlineLevel="0" collapsed="false">
      <c r="A10" s="17" t="s">
        <v>423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18" t="s">
        <v>225</v>
      </c>
    </row>
    <row r="12" customFormat="false" ht="54" hidden="false" customHeight="true" outlineLevel="0" collapsed="false">
      <c r="A12" s="18"/>
      <c r="B12" s="18"/>
      <c r="C12" s="18"/>
      <c r="D12" s="18"/>
      <c r="E12" s="19" t="s">
        <v>424</v>
      </c>
      <c r="F12" s="19" t="s">
        <v>425</v>
      </c>
      <c r="G12" s="19" t="s">
        <v>426</v>
      </c>
      <c r="H12" s="19" t="s">
        <v>427</v>
      </c>
      <c r="I12" s="19" t="s">
        <v>428</v>
      </c>
      <c r="J12" s="19" t="s">
        <v>429</v>
      </c>
      <c r="K12" s="19" t="s">
        <v>430</v>
      </c>
      <c r="L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236</v>
      </c>
      <c r="H13" s="20" t="s">
        <v>236</v>
      </c>
      <c r="I13" s="20" t="s">
        <v>236</v>
      </c>
      <c r="J13" s="20" t="s">
        <v>236</v>
      </c>
      <c r="K13" s="20" t="s">
        <v>414</v>
      </c>
      <c r="L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9" customFormat="false" ht="15" hidden="false" customHeight="true" outlineLevel="0" collapsed="false">
      <c r="A49" s="4" t="s">
        <v>431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true" outlineLevel="0" collapsed="false">
      <c r="A50" s="24" t="s">
        <v>432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customFormat="false" ht="15" hidden="false" customHeight="true" outlineLevel="0" collapsed="false">
      <c r="A51" s="24" t="s">
        <v>433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customFormat="false" ht="15" hidden="false" customHeight="true" outlineLevel="0" collapsed="false">
      <c r="A52" s="24" t="s">
        <v>434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customFormat="false" ht="15" hidden="false" customHeight="true" outlineLevel="0" collapsed="false">
      <c r="A53" s="24" t="s">
        <v>435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customFormat="false" ht="15" hidden="false" customHeight="true" outlineLevel="0" collapsed="false">
      <c r="A54" s="24" t="s">
        <v>436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6" customFormat="false" ht="15" hidden="false" customHeight="true" outlineLevel="0" collapsed="false">
      <c r="A56" s="18" t="s">
        <v>249</v>
      </c>
      <c r="B56" s="18"/>
      <c r="C56" s="18"/>
      <c r="D56" s="18"/>
      <c r="E56" s="18" t="s">
        <v>250</v>
      </c>
      <c r="F56" s="18"/>
      <c r="G56" s="18"/>
      <c r="H56" s="18"/>
      <c r="I56" s="18" t="s">
        <v>251</v>
      </c>
      <c r="J56" s="18"/>
      <c r="K56" s="18"/>
      <c r="L56" s="18"/>
    </row>
    <row r="57" customFormat="false" ht="21.75" hidden="false" customHeight="true" outlineLevel="0" collapsed="false">
      <c r="A57" s="5" t="s">
        <v>252</v>
      </c>
      <c r="B57" s="5"/>
      <c r="C57" s="5"/>
      <c r="D57" s="5"/>
      <c r="E57" s="5" t="s">
        <v>252</v>
      </c>
      <c r="F57" s="5"/>
      <c r="G57" s="5"/>
      <c r="H57" s="5"/>
      <c r="I57" s="5" t="s">
        <v>252</v>
      </c>
      <c r="J57" s="5"/>
      <c r="K57" s="5"/>
      <c r="L57" s="5"/>
    </row>
    <row r="58" customFormat="false" ht="21.75" hidden="false" customHeight="true" outlineLevel="0" collapsed="false">
      <c r="A58" s="5" t="s">
        <v>253</v>
      </c>
      <c r="B58" s="5"/>
      <c r="C58" s="5"/>
      <c r="D58" s="5"/>
      <c r="E58" s="5" t="s">
        <v>253</v>
      </c>
      <c r="F58" s="5"/>
      <c r="G58" s="5"/>
      <c r="H58" s="5"/>
      <c r="I58" s="5" t="s">
        <v>253</v>
      </c>
      <c r="J58" s="5"/>
      <c r="K58" s="5"/>
      <c r="L58" s="5"/>
    </row>
    <row r="59" customFormat="false" ht="21.75" hidden="false" customHeight="true" outlineLevel="0" collapsed="false">
      <c r="A59" s="5" t="s">
        <v>254</v>
      </c>
      <c r="B59" s="5"/>
      <c r="C59" s="5"/>
      <c r="D59" s="5"/>
      <c r="E59" s="5" t="s">
        <v>254</v>
      </c>
      <c r="F59" s="5"/>
      <c r="G59" s="5"/>
      <c r="H59" s="5"/>
      <c r="I59" s="5" t="s">
        <v>254</v>
      </c>
      <c r="J59" s="5"/>
      <c r="K59" s="5"/>
      <c r="L59" s="5"/>
    </row>
    <row r="60" customFormat="false" ht="25.5" hidden="false" customHeight="true" outlineLevel="0" collapsed="false">
      <c r="A60" s="25" t="s">
        <v>255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</sheetData>
  <mergeCells count="59">
    <mergeCell ref="A1:L1"/>
    <mergeCell ref="A2:L2"/>
    <mergeCell ref="A3:B3"/>
    <mergeCell ref="C3:D3"/>
    <mergeCell ref="E3:F3"/>
    <mergeCell ref="G3:H3"/>
    <mergeCell ref="I3:L3"/>
    <mergeCell ref="A4:B4"/>
    <mergeCell ref="C4:D4"/>
    <mergeCell ref="E4:F4"/>
    <mergeCell ref="G4:H4"/>
    <mergeCell ref="I4:L4"/>
    <mergeCell ref="A5:L5"/>
    <mergeCell ref="A6:C6"/>
    <mergeCell ref="D6:L6"/>
    <mergeCell ref="A7:C7"/>
    <mergeCell ref="D7:F7"/>
    <mergeCell ref="G7:H7"/>
    <mergeCell ref="I7:L7"/>
    <mergeCell ref="A8:C8"/>
    <mergeCell ref="D8:F8"/>
    <mergeCell ref="G8:H8"/>
    <mergeCell ref="I8:L8"/>
    <mergeCell ref="A9:C9"/>
    <mergeCell ref="D9:F9"/>
    <mergeCell ref="G9:H9"/>
    <mergeCell ref="I9:L9"/>
    <mergeCell ref="A10:L10"/>
    <mergeCell ref="A11:A13"/>
    <mergeCell ref="B11:B13"/>
    <mergeCell ref="C11:C13"/>
    <mergeCell ref="D11:D13"/>
    <mergeCell ref="L11:L13"/>
    <mergeCell ref="A39:D39"/>
    <mergeCell ref="E39:L39"/>
    <mergeCell ref="A40:D40"/>
    <mergeCell ref="A41:D41"/>
    <mergeCell ref="A42:D42"/>
    <mergeCell ref="A44:L44"/>
    <mergeCell ref="A45:L47"/>
    <mergeCell ref="A49:L49"/>
    <mergeCell ref="A50:L50"/>
    <mergeCell ref="A51:L51"/>
    <mergeCell ref="A52:L52"/>
    <mergeCell ref="A53:L53"/>
    <mergeCell ref="A54:L54"/>
    <mergeCell ref="A56:D56"/>
    <mergeCell ref="E56:H56"/>
    <mergeCell ref="I56:L56"/>
    <mergeCell ref="A57:D57"/>
    <mergeCell ref="E57:H57"/>
    <mergeCell ref="I57:L57"/>
    <mergeCell ref="A58:D58"/>
    <mergeCell ref="E58:H58"/>
    <mergeCell ref="I58:L58"/>
    <mergeCell ref="A59:D59"/>
    <mergeCell ref="E59:H59"/>
    <mergeCell ref="I59:L59"/>
    <mergeCell ref="A60:L60"/>
  </mergeCells>
  <conditionalFormatting sqref="E14:K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K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IFSPL/M/CL/012  |  Rev 00  |  Ref: IFSPL/M/SOP/012&amp;C&amp;8 Indus Fire Safety Private Limited – Control Copy&amp;R&amp;8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O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4" min="5" style="0" width="17"/>
    <col collapsed="false" customWidth="true" hidden="false" outlineLevel="0" max="15" min="15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3.5" hidden="false" customHeight="true" outlineLevel="0" collapsed="false">
      <c r="A3" s="15" t="s">
        <v>17</v>
      </c>
      <c r="B3" s="15"/>
      <c r="C3" s="15"/>
      <c r="D3" s="15" t="s">
        <v>197</v>
      </c>
      <c r="E3" s="15"/>
      <c r="F3" s="15"/>
      <c r="G3" s="15" t="s">
        <v>5</v>
      </c>
      <c r="H3" s="15"/>
      <c r="I3" s="15"/>
      <c r="J3" s="15" t="s">
        <v>7</v>
      </c>
      <c r="K3" s="15"/>
      <c r="L3" s="15"/>
      <c r="M3" s="15" t="s">
        <v>198</v>
      </c>
      <c r="N3" s="15"/>
      <c r="O3" s="15"/>
    </row>
    <row r="4" customFormat="false" ht="18" hidden="false" customHeight="true" outlineLevel="0" collapsed="false">
      <c r="A4" s="8" t="s">
        <v>80</v>
      </c>
      <c r="B4" s="8"/>
      <c r="C4" s="8"/>
      <c r="D4" s="8" t="s">
        <v>81</v>
      </c>
      <c r="E4" s="8"/>
      <c r="F4" s="8"/>
      <c r="G4" s="8" t="s">
        <v>6</v>
      </c>
      <c r="H4" s="8"/>
      <c r="I4" s="8"/>
      <c r="J4" s="8" t="s">
        <v>199</v>
      </c>
      <c r="K4" s="8"/>
      <c r="L4" s="8"/>
      <c r="M4" s="8" t="s">
        <v>200</v>
      </c>
      <c r="N4" s="8"/>
      <c r="O4" s="8"/>
    </row>
    <row r="5" customFormat="false" ht="24" hidden="false" customHeight="true" outlineLevel="0" collapsed="false">
      <c r="A5" s="3" t="s">
        <v>437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16"/>
      <c r="H7" s="16"/>
      <c r="I7" s="4" t="s">
        <v>204</v>
      </c>
      <c r="J7" s="4"/>
      <c r="K7" s="16" t="s">
        <v>205</v>
      </c>
      <c r="L7" s="16"/>
      <c r="M7" s="16"/>
      <c r="N7" s="16"/>
      <c r="O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16"/>
      <c r="H8" s="16"/>
      <c r="I8" s="4" t="s">
        <v>207</v>
      </c>
      <c r="J8" s="4"/>
      <c r="K8" s="16"/>
      <c r="L8" s="16"/>
      <c r="M8" s="16"/>
      <c r="N8" s="16"/>
      <c r="O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16"/>
      <c r="H9" s="16"/>
      <c r="I9" s="4" t="s">
        <v>209</v>
      </c>
      <c r="J9" s="4"/>
      <c r="K9" s="16"/>
      <c r="L9" s="16"/>
      <c r="M9" s="16"/>
      <c r="N9" s="16"/>
      <c r="O9" s="16"/>
    </row>
    <row r="10" customFormat="false" ht="25.5" hidden="false" customHeight="true" outlineLevel="0" collapsed="false">
      <c r="A10" s="17" t="s">
        <v>438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7" t="s">
        <v>222</v>
      </c>
      <c r="M11" s="7" t="s">
        <v>223</v>
      </c>
      <c r="N11" s="7" t="s">
        <v>224</v>
      </c>
      <c r="O11" s="18" t="s">
        <v>225</v>
      </c>
    </row>
    <row r="12" customFormat="false" ht="42" hidden="false" customHeight="true" outlineLevel="0" collapsed="false">
      <c r="A12" s="18"/>
      <c r="B12" s="18"/>
      <c r="C12" s="18"/>
      <c r="D12" s="18"/>
      <c r="E12" s="19" t="s">
        <v>439</v>
      </c>
      <c r="F12" s="19" t="s">
        <v>440</v>
      </c>
      <c r="G12" s="19" t="s">
        <v>441</v>
      </c>
      <c r="H12" s="19" t="s">
        <v>442</v>
      </c>
      <c r="I12" s="19" t="s">
        <v>443</v>
      </c>
      <c r="J12" s="19" t="s">
        <v>444</v>
      </c>
      <c r="K12" s="19" t="s">
        <v>445</v>
      </c>
      <c r="L12" s="19" t="s">
        <v>446</v>
      </c>
      <c r="M12" s="19" t="s">
        <v>447</v>
      </c>
      <c r="N12" s="19" t="s">
        <v>448</v>
      </c>
      <c r="O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236</v>
      </c>
      <c r="H13" s="20" t="s">
        <v>236</v>
      </c>
      <c r="I13" s="20" t="s">
        <v>347</v>
      </c>
      <c r="J13" s="20" t="s">
        <v>449</v>
      </c>
      <c r="K13" s="20" t="s">
        <v>236</v>
      </c>
      <c r="L13" s="20" t="s">
        <v>236</v>
      </c>
      <c r="M13" s="20" t="s">
        <v>236</v>
      </c>
      <c r="N13" s="20" t="s">
        <v>236</v>
      </c>
      <c r="O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9"/>
      <c r="M14" s="9"/>
      <c r="N14" s="9"/>
      <c r="O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9"/>
      <c r="M15" s="9"/>
      <c r="N15" s="9"/>
      <c r="O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9"/>
      <c r="M16" s="9"/>
      <c r="N16" s="9"/>
      <c r="O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9"/>
      <c r="M17" s="9"/>
      <c r="N17" s="9"/>
      <c r="O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9"/>
      <c r="M18" s="9"/>
      <c r="N18" s="9"/>
      <c r="O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9"/>
      <c r="M19" s="9"/>
      <c r="N19" s="9"/>
      <c r="O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9"/>
      <c r="M20" s="9"/>
      <c r="N20" s="9"/>
      <c r="O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9"/>
      <c r="M21" s="9"/>
      <c r="N21" s="9"/>
      <c r="O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9"/>
      <c r="M22" s="9"/>
      <c r="N22" s="9"/>
      <c r="O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9"/>
      <c r="M23" s="9"/>
      <c r="N23" s="9"/>
      <c r="O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9"/>
      <c r="M24" s="9"/>
      <c r="N24" s="9"/>
      <c r="O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9"/>
      <c r="M25" s="9"/>
      <c r="N25" s="9"/>
      <c r="O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9"/>
      <c r="M26" s="9"/>
      <c r="N26" s="9"/>
      <c r="O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9"/>
      <c r="M27" s="9"/>
      <c r="N27" s="9"/>
      <c r="O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9"/>
      <c r="M28" s="9"/>
      <c r="N28" s="9"/>
      <c r="O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9"/>
      <c r="M29" s="9"/>
      <c r="N29" s="9"/>
      <c r="O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9"/>
      <c r="M30" s="9"/>
      <c r="N30" s="9"/>
      <c r="O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9"/>
      <c r="M31" s="9"/>
      <c r="N31" s="9"/>
      <c r="O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9"/>
      <c r="M32" s="9"/>
      <c r="N32" s="9"/>
      <c r="O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9"/>
      <c r="M33" s="9"/>
      <c r="N33" s="9"/>
      <c r="O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9"/>
      <c r="M34" s="9"/>
      <c r="N34" s="9"/>
      <c r="O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9"/>
      <c r="M35" s="9"/>
      <c r="N35" s="9"/>
      <c r="O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9"/>
      <c r="M36" s="9"/>
      <c r="N36" s="9"/>
      <c r="O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9"/>
      <c r="M37" s="9"/>
      <c r="N37" s="9"/>
      <c r="O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9"/>
      <c r="M38" s="9"/>
      <c r="N38" s="9"/>
      <c r="O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8" t="n">
        <f aca="false">COUNTIF(L14:L38,"√")</f>
        <v>0</v>
      </c>
      <c r="M40" s="8" t="n">
        <f aca="false">COUNTIF(M14:M38,"√")</f>
        <v>0</v>
      </c>
      <c r="N40" s="8" t="n">
        <f aca="false">COUNTIF(N14:N38,"√")</f>
        <v>0</v>
      </c>
      <c r="O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8" t="n">
        <f aca="false">COUNTIF(L14:L38,"X")</f>
        <v>0</v>
      </c>
      <c r="M41" s="8" t="n">
        <f aca="false">COUNTIF(M14:M38,"X")</f>
        <v>0</v>
      </c>
      <c r="N41" s="8" t="n">
        <f aca="false">COUNTIF(N14:N38,"X")</f>
        <v>0</v>
      </c>
      <c r="O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8" t="n">
        <f aca="false">COUNTIF(L14:L38,"NA")</f>
        <v>0</v>
      </c>
      <c r="M42" s="8" t="n">
        <f aca="false">COUNTIF(M14:M38,"NA")</f>
        <v>0</v>
      </c>
      <c r="N42" s="8" t="n">
        <f aca="false">COUNTIF(N14:N38,"NA")</f>
        <v>0</v>
      </c>
      <c r="O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</row>
    <row r="49" customFormat="false" ht="15" hidden="false" customHeight="true" outlineLevel="0" collapsed="false">
      <c r="A49" s="4" t="s">
        <v>450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customFormat="false" ht="15" hidden="false" customHeight="true" outlineLevel="0" collapsed="false">
      <c r="A50" s="24" t="s">
        <v>451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customFormat="false" ht="15" hidden="false" customHeight="true" outlineLevel="0" collapsed="false">
      <c r="A51" s="24" t="s">
        <v>452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customFormat="false" ht="15" hidden="false" customHeight="true" outlineLevel="0" collapsed="false">
      <c r="A52" s="24" t="s">
        <v>453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customFormat="false" ht="15" hidden="false" customHeight="true" outlineLevel="0" collapsed="false">
      <c r="A53" s="24" t="s">
        <v>454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customFormat="false" ht="15" hidden="false" customHeight="true" outlineLevel="0" collapsed="false">
      <c r="A54" s="24" t="s">
        <v>455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6" customFormat="false" ht="15" hidden="false" customHeight="true" outlineLevel="0" collapsed="false">
      <c r="A56" s="18" t="s">
        <v>249</v>
      </c>
      <c r="B56" s="18"/>
      <c r="C56" s="18"/>
      <c r="D56" s="18"/>
      <c r="E56" s="18"/>
      <c r="F56" s="18" t="s">
        <v>250</v>
      </c>
      <c r="G56" s="18"/>
      <c r="H56" s="18"/>
      <c r="I56" s="18"/>
      <c r="J56" s="18"/>
      <c r="K56" s="18" t="s">
        <v>251</v>
      </c>
      <c r="L56" s="18"/>
      <c r="M56" s="18"/>
      <c r="N56" s="18"/>
      <c r="O56" s="18"/>
    </row>
    <row r="57" customFormat="false" ht="21.75" hidden="false" customHeight="true" outlineLevel="0" collapsed="false">
      <c r="A57" s="5" t="s">
        <v>252</v>
      </c>
      <c r="B57" s="5"/>
      <c r="C57" s="5"/>
      <c r="D57" s="5"/>
      <c r="E57" s="5"/>
      <c r="F57" s="5" t="s">
        <v>252</v>
      </c>
      <c r="G57" s="5"/>
      <c r="H57" s="5"/>
      <c r="I57" s="5"/>
      <c r="J57" s="5"/>
      <c r="K57" s="5" t="s">
        <v>252</v>
      </c>
      <c r="L57" s="5"/>
      <c r="M57" s="5"/>
      <c r="N57" s="5"/>
      <c r="O57" s="5"/>
    </row>
    <row r="58" customFormat="false" ht="21.75" hidden="false" customHeight="true" outlineLevel="0" collapsed="false">
      <c r="A58" s="5" t="s">
        <v>253</v>
      </c>
      <c r="B58" s="5"/>
      <c r="C58" s="5"/>
      <c r="D58" s="5"/>
      <c r="E58" s="5"/>
      <c r="F58" s="5" t="s">
        <v>253</v>
      </c>
      <c r="G58" s="5"/>
      <c r="H58" s="5"/>
      <c r="I58" s="5"/>
      <c r="J58" s="5"/>
      <c r="K58" s="5" t="s">
        <v>253</v>
      </c>
      <c r="L58" s="5"/>
      <c r="M58" s="5"/>
      <c r="N58" s="5"/>
      <c r="O58" s="5"/>
    </row>
    <row r="59" customFormat="false" ht="21.75" hidden="false" customHeight="true" outlineLevel="0" collapsed="false">
      <c r="A59" s="5" t="s">
        <v>254</v>
      </c>
      <c r="B59" s="5"/>
      <c r="C59" s="5"/>
      <c r="D59" s="5"/>
      <c r="E59" s="5"/>
      <c r="F59" s="5" t="s">
        <v>254</v>
      </c>
      <c r="G59" s="5"/>
      <c r="H59" s="5"/>
      <c r="I59" s="5"/>
      <c r="J59" s="5"/>
      <c r="K59" s="5" t="s">
        <v>254</v>
      </c>
      <c r="L59" s="5"/>
      <c r="M59" s="5"/>
      <c r="N59" s="5"/>
      <c r="O59" s="5"/>
    </row>
    <row r="60" customFormat="false" ht="25.5" hidden="false" customHeight="true" outlineLevel="0" collapsed="false">
      <c r="A60" s="25" t="s">
        <v>255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</sheetData>
  <mergeCells count="59">
    <mergeCell ref="A1:O1"/>
    <mergeCell ref="A2:O2"/>
    <mergeCell ref="A3:C3"/>
    <mergeCell ref="D3:F3"/>
    <mergeCell ref="G3:I3"/>
    <mergeCell ref="J3:L3"/>
    <mergeCell ref="M3:O3"/>
    <mergeCell ref="A4:C4"/>
    <mergeCell ref="D4:F4"/>
    <mergeCell ref="G4:I4"/>
    <mergeCell ref="J4:L4"/>
    <mergeCell ref="M4:O4"/>
    <mergeCell ref="A5:O5"/>
    <mergeCell ref="A6:C6"/>
    <mergeCell ref="D6:O6"/>
    <mergeCell ref="A7:C7"/>
    <mergeCell ref="D7:H7"/>
    <mergeCell ref="I7:J7"/>
    <mergeCell ref="K7:O7"/>
    <mergeCell ref="A8:C8"/>
    <mergeCell ref="D8:H8"/>
    <mergeCell ref="I8:J8"/>
    <mergeCell ref="K8:O8"/>
    <mergeCell ref="A9:C9"/>
    <mergeCell ref="D9:H9"/>
    <mergeCell ref="I9:J9"/>
    <mergeCell ref="K9:O9"/>
    <mergeCell ref="A10:O10"/>
    <mergeCell ref="A11:A13"/>
    <mergeCell ref="B11:B13"/>
    <mergeCell ref="C11:C13"/>
    <mergeCell ref="D11:D13"/>
    <mergeCell ref="O11:O13"/>
    <mergeCell ref="A39:D39"/>
    <mergeCell ref="E39:O39"/>
    <mergeCell ref="A40:D40"/>
    <mergeCell ref="A41:D41"/>
    <mergeCell ref="A42:D42"/>
    <mergeCell ref="A44:O44"/>
    <mergeCell ref="A45:O47"/>
    <mergeCell ref="A49:O49"/>
    <mergeCell ref="A50:O50"/>
    <mergeCell ref="A51:O51"/>
    <mergeCell ref="A52:O52"/>
    <mergeCell ref="A53:O53"/>
    <mergeCell ref="A54:O54"/>
    <mergeCell ref="A56:E56"/>
    <mergeCell ref="F56:J56"/>
    <mergeCell ref="K56:O56"/>
    <mergeCell ref="A57:E57"/>
    <mergeCell ref="F57:J57"/>
    <mergeCell ref="K57:O57"/>
    <mergeCell ref="A58:E58"/>
    <mergeCell ref="F58:J58"/>
    <mergeCell ref="K58:O58"/>
    <mergeCell ref="A59:E59"/>
    <mergeCell ref="F59:J59"/>
    <mergeCell ref="K59:O59"/>
    <mergeCell ref="A60:O60"/>
  </mergeCells>
  <conditionalFormatting sqref="E14:N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N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IFSPL/M/CL/013  |  Rev 00  |  Ref: IFSPL/M/SOP/013&amp;C&amp;8 Indus Fire Safety Private Limited – Control Copy&amp;R&amp;8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3" min="5" style="0" width="17"/>
    <col collapsed="false" customWidth="true" hidden="false" outlineLevel="0" max="14" min="14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3.5" hidden="false" customHeight="true" outlineLevel="0" collapsed="false">
      <c r="A3" s="15" t="s">
        <v>17</v>
      </c>
      <c r="B3" s="15"/>
      <c r="C3" s="15"/>
      <c r="D3" s="15" t="s">
        <v>197</v>
      </c>
      <c r="E3" s="15"/>
      <c r="F3" s="15"/>
      <c r="G3" s="15" t="s">
        <v>5</v>
      </c>
      <c r="H3" s="15"/>
      <c r="I3" s="15"/>
      <c r="J3" s="15" t="s">
        <v>7</v>
      </c>
      <c r="K3" s="15"/>
      <c r="L3" s="15"/>
      <c r="M3" s="15" t="s">
        <v>198</v>
      </c>
      <c r="N3" s="15"/>
    </row>
    <row r="4" customFormat="false" ht="18" hidden="false" customHeight="true" outlineLevel="0" collapsed="false">
      <c r="A4" s="8" t="s">
        <v>84</v>
      </c>
      <c r="B4" s="8"/>
      <c r="C4" s="8"/>
      <c r="D4" s="8" t="s">
        <v>85</v>
      </c>
      <c r="E4" s="8"/>
      <c r="F4" s="8"/>
      <c r="G4" s="8" t="s">
        <v>6</v>
      </c>
      <c r="H4" s="8"/>
      <c r="I4" s="8"/>
      <c r="J4" s="8" t="s">
        <v>199</v>
      </c>
      <c r="K4" s="8"/>
      <c r="L4" s="8"/>
      <c r="M4" s="8" t="s">
        <v>200</v>
      </c>
      <c r="N4" s="8"/>
    </row>
    <row r="5" customFormat="false" ht="24" hidden="false" customHeight="true" outlineLevel="0" collapsed="false">
      <c r="A5" s="3" t="s">
        <v>456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16"/>
      <c r="H7" s="4" t="s">
        <v>204</v>
      </c>
      <c r="I7" s="4"/>
      <c r="J7" s="16" t="s">
        <v>205</v>
      </c>
      <c r="K7" s="16"/>
      <c r="L7" s="16"/>
      <c r="M7" s="16"/>
      <c r="N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16"/>
      <c r="H8" s="4" t="s">
        <v>207</v>
      </c>
      <c r="I8" s="4"/>
      <c r="J8" s="16"/>
      <c r="K8" s="16"/>
      <c r="L8" s="16"/>
      <c r="M8" s="16"/>
      <c r="N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16"/>
      <c r="H9" s="4" t="s">
        <v>209</v>
      </c>
      <c r="I9" s="4"/>
      <c r="J9" s="16"/>
      <c r="K9" s="16"/>
      <c r="L9" s="16"/>
      <c r="M9" s="16"/>
      <c r="N9" s="16"/>
    </row>
    <row r="10" customFormat="false" ht="25.5" hidden="false" customHeight="true" outlineLevel="0" collapsed="false">
      <c r="A10" s="17" t="s">
        <v>457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7" t="s">
        <v>222</v>
      </c>
      <c r="M11" s="7" t="s">
        <v>223</v>
      </c>
      <c r="N11" s="18" t="s">
        <v>225</v>
      </c>
    </row>
    <row r="12" customFormat="false" ht="54" hidden="false" customHeight="true" outlineLevel="0" collapsed="false">
      <c r="A12" s="18"/>
      <c r="B12" s="18"/>
      <c r="C12" s="18"/>
      <c r="D12" s="18"/>
      <c r="E12" s="19" t="s">
        <v>458</v>
      </c>
      <c r="F12" s="19" t="s">
        <v>459</v>
      </c>
      <c r="G12" s="19" t="s">
        <v>460</v>
      </c>
      <c r="H12" s="19" t="s">
        <v>461</v>
      </c>
      <c r="I12" s="19" t="s">
        <v>462</v>
      </c>
      <c r="J12" s="19" t="s">
        <v>463</v>
      </c>
      <c r="K12" s="19" t="s">
        <v>464</v>
      </c>
      <c r="L12" s="19" t="s">
        <v>465</v>
      </c>
      <c r="M12" s="19" t="s">
        <v>466</v>
      </c>
      <c r="N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467</v>
      </c>
      <c r="F13" s="20" t="s">
        <v>468</v>
      </c>
      <c r="G13" s="20" t="s">
        <v>467</v>
      </c>
      <c r="H13" s="20" t="s">
        <v>347</v>
      </c>
      <c r="I13" s="20" t="s">
        <v>347</v>
      </c>
      <c r="J13" s="20" t="s">
        <v>347</v>
      </c>
      <c r="K13" s="20" t="s">
        <v>347</v>
      </c>
      <c r="L13" s="20" t="s">
        <v>236</v>
      </c>
      <c r="M13" s="20" t="s">
        <v>469</v>
      </c>
      <c r="N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9"/>
      <c r="M14" s="9"/>
      <c r="N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9"/>
      <c r="M15" s="9"/>
      <c r="N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9"/>
      <c r="M16" s="9"/>
      <c r="N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9"/>
      <c r="M17" s="9"/>
      <c r="N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9"/>
      <c r="M18" s="9"/>
      <c r="N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9"/>
      <c r="M19" s="9"/>
      <c r="N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9"/>
      <c r="M20" s="9"/>
      <c r="N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9"/>
      <c r="M21" s="9"/>
      <c r="N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9"/>
      <c r="M22" s="9"/>
      <c r="N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9"/>
      <c r="M23" s="9"/>
      <c r="N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9"/>
      <c r="M24" s="9"/>
      <c r="N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9"/>
      <c r="M25" s="9"/>
      <c r="N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9"/>
      <c r="M26" s="9"/>
      <c r="N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9"/>
      <c r="M27" s="9"/>
      <c r="N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9"/>
      <c r="M28" s="9"/>
      <c r="N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9"/>
      <c r="M29" s="9"/>
      <c r="N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9"/>
      <c r="M30" s="9"/>
      <c r="N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9"/>
      <c r="M31" s="9"/>
      <c r="N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9"/>
      <c r="M32" s="9"/>
      <c r="N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9"/>
      <c r="M33" s="9"/>
      <c r="N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9"/>
      <c r="M34" s="9"/>
      <c r="N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9"/>
      <c r="M35" s="9"/>
      <c r="N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9"/>
      <c r="M36" s="9"/>
      <c r="N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9"/>
      <c r="M37" s="9"/>
      <c r="N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9"/>
      <c r="M38" s="9"/>
      <c r="N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  <c r="M39" s="21"/>
      <c r="N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8" t="n">
        <f aca="false">COUNTIF(L14:L38,"√")</f>
        <v>0</v>
      </c>
      <c r="M40" s="8" t="n">
        <f aca="false">COUNTIF(M14:M38,"√")</f>
        <v>0</v>
      </c>
      <c r="N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8" t="n">
        <f aca="false">COUNTIF(L14:L38,"X")</f>
        <v>0</v>
      </c>
      <c r="M41" s="8" t="n">
        <f aca="false">COUNTIF(M14:M38,"X")</f>
        <v>0</v>
      </c>
      <c r="N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8" t="n">
        <f aca="false">COUNTIF(L14:L38,"NA")</f>
        <v>0</v>
      </c>
      <c r="M42" s="8" t="n">
        <f aca="false">COUNTIF(M14:M38,"NA")</f>
        <v>0</v>
      </c>
      <c r="N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</row>
    <row r="49" customFormat="false" ht="15" hidden="false" customHeight="true" outlineLevel="0" collapsed="false">
      <c r="A49" s="4" t="s">
        <v>470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customFormat="false" ht="15" hidden="false" customHeight="true" outlineLevel="0" collapsed="false">
      <c r="A50" s="24" t="s">
        <v>471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customFormat="false" ht="15" hidden="false" customHeight="true" outlineLevel="0" collapsed="false">
      <c r="A51" s="24" t="s">
        <v>472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customFormat="false" ht="15" hidden="false" customHeight="true" outlineLevel="0" collapsed="false">
      <c r="A52" s="24" t="s">
        <v>473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customFormat="false" ht="15" hidden="false" customHeight="true" outlineLevel="0" collapsed="false">
      <c r="A53" s="24" t="s">
        <v>474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customFormat="false" ht="15" hidden="false" customHeight="true" outlineLevel="0" collapsed="false">
      <c r="A54" s="24" t="s">
        <v>475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6" customFormat="false" ht="15" hidden="false" customHeight="true" outlineLevel="0" collapsed="false">
      <c r="A56" s="18" t="s">
        <v>249</v>
      </c>
      <c r="B56" s="18"/>
      <c r="C56" s="18"/>
      <c r="D56" s="18"/>
      <c r="E56" s="18"/>
      <c r="F56" s="18" t="s">
        <v>250</v>
      </c>
      <c r="G56" s="18"/>
      <c r="H56" s="18"/>
      <c r="I56" s="18"/>
      <c r="J56" s="18"/>
      <c r="K56" s="18" t="s">
        <v>251</v>
      </c>
      <c r="L56" s="18"/>
      <c r="M56" s="18"/>
      <c r="N56" s="18"/>
    </row>
    <row r="57" customFormat="false" ht="21.75" hidden="false" customHeight="true" outlineLevel="0" collapsed="false">
      <c r="A57" s="5" t="s">
        <v>252</v>
      </c>
      <c r="B57" s="5"/>
      <c r="C57" s="5"/>
      <c r="D57" s="5"/>
      <c r="E57" s="5"/>
      <c r="F57" s="5" t="s">
        <v>252</v>
      </c>
      <c r="G57" s="5"/>
      <c r="H57" s="5"/>
      <c r="I57" s="5"/>
      <c r="J57" s="5"/>
      <c r="K57" s="5" t="s">
        <v>252</v>
      </c>
      <c r="L57" s="5"/>
      <c r="M57" s="5"/>
      <c r="N57" s="5"/>
    </row>
    <row r="58" customFormat="false" ht="21.75" hidden="false" customHeight="true" outlineLevel="0" collapsed="false">
      <c r="A58" s="5" t="s">
        <v>253</v>
      </c>
      <c r="B58" s="5"/>
      <c r="C58" s="5"/>
      <c r="D58" s="5"/>
      <c r="E58" s="5"/>
      <c r="F58" s="5" t="s">
        <v>253</v>
      </c>
      <c r="G58" s="5"/>
      <c r="H58" s="5"/>
      <c r="I58" s="5"/>
      <c r="J58" s="5"/>
      <c r="K58" s="5" t="s">
        <v>253</v>
      </c>
      <c r="L58" s="5"/>
      <c r="M58" s="5"/>
      <c r="N58" s="5"/>
    </row>
    <row r="59" customFormat="false" ht="21.75" hidden="false" customHeight="true" outlineLevel="0" collapsed="false">
      <c r="A59" s="5" t="s">
        <v>254</v>
      </c>
      <c r="B59" s="5"/>
      <c r="C59" s="5"/>
      <c r="D59" s="5"/>
      <c r="E59" s="5"/>
      <c r="F59" s="5" t="s">
        <v>254</v>
      </c>
      <c r="G59" s="5"/>
      <c r="H59" s="5"/>
      <c r="I59" s="5"/>
      <c r="J59" s="5"/>
      <c r="K59" s="5" t="s">
        <v>254</v>
      </c>
      <c r="L59" s="5"/>
      <c r="M59" s="5"/>
      <c r="N59" s="5"/>
    </row>
    <row r="60" customFormat="false" ht="25.5" hidden="false" customHeight="true" outlineLevel="0" collapsed="false">
      <c r="A60" s="25" t="s">
        <v>255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</sheetData>
  <mergeCells count="59">
    <mergeCell ref="A1:N1"/>
    <mergeCell ref="A2:N2"/>
    <mergeCell ref="A3:C3"/>
    <mergeCell ref="D3:F3"/>
    <mergeCell ref="G3:I3"/>
    <mergeCell ref="J3:L3"/>
    <mergeCell ref="M3:N3"/>
    <mergeCell ref="A4:C4"/>
    <mergeCell ref="D4:F4"/>
    <mergeCell ref="G4:I4"/>
    <mergeCell ref="J4:L4"/>
    <mergeCell ref="M4:N4"/>
    <mergeCell ref="A5:N5"/>
    <mergeCell ref="A6:C6"/>
    <mergeCell ref="D6:N6"/>
    <mergeCell ref="A7:C7"/>
    <mergeCell ref="D7:G7"/>
    <mergeCell ref="H7:I7"/>
    <mergeCell ref="J7:N7"/>
    <mergeCell ref="A8:C8"/>
    <mergeCell ref="D8:G8"/>
    <mergeCell ref="H8:I8"/>
    <mergeCell ref="J8:N8"/>
    <mergeCell ref="A9:C9"/>
    <mergeCell ref="D9:G9"/>
    <mergeCell ref="H9:I9"/>
    <mergeCell ref="J9:N9"/>
    <mergeCell ref="A10:N10"/>
    <mergeCell ref="A11:A13"/>
    <mergeCell ref="B11:B13"/>
    <mergeCell ref="C11:C13"/>
    <mergeCell ref="D11:D13"/>
    <mergeCell ref="N11:N13"/>
    <mergeCell ref="A39:D39"/>
    <mergeCell ref="E39:N39"/>
    <mergeCell ref="A40:D40"/>
    <mergeCell ref="A41:D41"/>
    <mergeCell ref="A42:D42"/>
    <mergeCell ref="A44:N44"/>
    <mergeCell ref="A45:N47"/>
    <mergeCell ref="A49:N49"/>
    <mergeCell ref="A50:N50"/>
    <mergeCell ref="A51:N51"/>
    <mergeCell ref="A52:N52"/>
    <mergeCell ref="A53:N53"/>
    <mergeCell ref="A54:N54"/>
    <mergeCell ref="A56:E56"/>
    <mergeCell ref="F56:J56"/>
    <mergeCell ref="K56:N56"/>
    <mergeCell ref="A57:E57"/>
    <mergeCell ref="F57:J57"/>
    <mergeCell ref="K57:N57"/>
    <mergeCell ref="A58:E58"/>
    <mergeCell ref="F58:J58"/>
    <mergeCell ref="K58:N58"/>
    <mergeCell ref="A59:E59"/>
    <mergeCell ref="F59:J59"/>
    <mergeCell ref="K59:N59"/>
    <mergeCell ref="A60:N60"/>
  </mergeCells>
  <conditionalFormatting sqref="E14:M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M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IFSPL/M/CL/014  |  Rev 00  |  Ref: IFSPL/M/SOP/014&amp;C&amp;8 Indus Fire Safety Private Limited – Control Copy&amp;R&amp;8 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1" min="5" style="0" width="17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  <c r="K3" s="15"/>
      <c r="L3" s="15"/>
    </row>
    <row r="4" customFormat="false" ht="18" hidden="false" customHeight="true" outlineLevel="0" collapsed="false">
      <c r="A4" s="8" t="s">
        <v>88</v>
      </c>
      <c r="B4" s="8"/>
      <c r="C4" s="8" t="s">
        <v>89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  <c r="K4" s="8"/>
      <c r="L4" s="8"/>
    </row>
    <row r="5" customFormat="false" ht="24" hidden="false" customHeight="true" outlineLevel="0" collapsed="false">
      <c r="A5" s="3" t="s">
        <v>476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  <c r="L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  <c r="L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  <c r="L9" s="16"/>
    </row>
    <row r="10" customFormat="false" ht="25.5" hidden="false" customHeight="true" outlineLevel="0" collapsed="false">
      <c r="A10" s="17" t="s">
        <v>477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18" t="s">
        <v>225</v>
      </c>
    </row>
    <row r="12" customFormat="false" ht="54" hidden="false" customHeight="true" outlineLevel="0" collapsed="false">
      <c r="A12" s="18"/>
      <c r="B12" s="18"/>
      <c r="C12" s="18"/>
      <c r="D12" s="18"/>
      <c r="E12" s="19" t="s">
        <v>478</v>
      </c>
      <c r="F12" s="19" t="s">
        <v>479</v>
      </c>
      <c r="G12" s="19" t="s">
        <v>480</v>
      </c>
      <c r="H12" s="19" t="s">
        <v>481</v>
      </c>
      <c r="I12" s="19" t="s">
        <v>482</v>
      </c>
      <c r="J12" s="19" t="s">
        <v>483</v>
      </c>
      <c r="K12" s="19" t="s">
        <v>484</v>
      </c>
      <c r="L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485</v>
      </c>
      <c r="F13" s="20" t="s">
        <v>486</v>
      </c>
      <c r="G13" s="20" t="s">
        <v>236</v>
      </c>
      <c r="H13" s="20" t="s">
        <v>236</v>
      </c>
      <c r="I13" s="20" t="s">
        <v>236</v>
      </c>
      <c r="J13" s="20" t="s">
        <v>236</v>
      </c>
      <c r="K13" s="20" t="s">
        <v>236</v>
      </c>
      <c r="L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9" customFormat="false" ht="15" hidden="false" customHeight="true" outlineLevel="0" collapsed="false">
      <c r="A49" s="4" t="s">
        <v>487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true" outlineLevel="0" collapsed="false">
      <c r="A50" s="24" t="s">
        <v>488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customFormat="false" ht="15" hidden="false" customHeight="true" outlineLevel="0" collapsed="false">
      <c r="A51" s="24" t="s">
        <v>489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customFormat="false" ht="15" hidden="false" customHeight="true" outlineLevel="0" collapsed="false">
      <c r="A52" s="24" t="s">
        <v>490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customFormat="false" ht="15" hidden="false" customHeight="true" outlineLevel="0" collapsed="false">
      <c r="A53" s="24" t="s">
        <v>491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5" customFormat="false" ht="15" hidden="false" customHeight="true" outlineLevel="0" collapsed="false">
      <c r="A55" s="18" t="s">
        <v>249</v>
      </c>
      <c r="B55" s="18"/>
      <c r="C55" s="18"/>
      <c r="D55" s="18"/>
      <c r="E55" s="18" t="s">
        <v>250</v>
      </c>
      <c r="F55" s="18"/>
      <c r="G55" s="18"/>
      <c r="H55" s="18"/>
      <c r="I55" s="18" t="s">
        <v>251</v>
      </c>
      <c r="J55" s="18"/>
      <c r="K55" s="18"/>
      <c r="L55" s="18"/>
    </row>
    <row r="56" customFormat="false" ht="21.75" hidden="false" customHeight="true" outlineLevel="0" collapsed="false">
      <c r="A56" s="5" t="s">
        <v>252</v>
      </c>
      <c r="B56" s="5"/>
      <c r="C56" s="5"/>
      <c r="D56" s="5"/>
      <c r="E56" s="5" t="s">
        <v>252</v>
      </c>
      <c r="F56" s="5"/>
      <c r="G56" s="5"/>
      <c r="H56" s="5"/>
      <c r="I56" s="5" t="s">
        <v>252</v>
      </c>
      <c r="J56" s="5"/>
      <c r="K56" s="5"/>
      <c r="L56" s="5"/>
    </row>
    <row r="57" customFormat="false" ht="21.75" hidden="false" customHeight="true" outlineLevel="0" collapsed="false">
      <c r="A57" s="5" t="s">
        <v>253</v>
      </c>
      <c r="B57" s="5"/>
      <c r="C57" s="5"/>
      <c r="D57" s="5"/>
      <c r="E57" s="5" t="s">
        <v>253</v>
      </c>
      <c r="F57" s="5"/>
      <c r="G57" s="5"/>
      <c r="H57" s="5"/>
      <c r="I57" s="5" t="s">
        <v>253</v>
      </c>
      <c r="J57" s="5"/>
      <c r="K57" s="5"/>
      <c r="L57" s="5"/>
    </row>
    <row r="58" customFormat="false" ht="21.75" hidden="false" customHeight="true" outlineLevel="0" collapsed="false">
      <c r="A58" s="5" t="s">
        <v>254</v>
      </c>
      <c r="B58" s="5"/>
      <c r="C58" s="5"/>
      <c r="D58" s="5"/>
      <c r="E58" s="5" t="s">
        <v>254</v>
      </c>
      <c r="F58" s="5"/>
      <c r="G58" s="5"/>
      <c r="H58" s="5"/>
      <c r="I58" s="5" t="s">
        <v>254</v>
      </c>
      <c r="J58" s="5"/>
      <c r="K58" s="5"/>
      <c r="L58" s="5"/>
    </row>
    <row r="59" customFormat="false" ht="25.5" hidden="false" customHeight="true" outlineLevel="0" collapsed="false">
      <c r="A59" s="25" t="s">
        <v>255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</sheetData>
  <mergeCells count="58">
    <mergeCell ref="A1:L1"/>
    <mergeCell ref="A2:L2"/>
    <mergeCell ref="A3:B3"/>
    <mergeCell ref="C3:D3"/>
    <mergeCell ref="E3:F3"/>
    <mergeCell ref="G3:H3"/>
    <mergeCell ref="I3:L3"/>
    <mergeCell ref="A4:B4"/>
    <mergeCell ref="C4:D4"/>
    <mergeCell ref="E4:F4"/>
    <mergeCell ref="G4:H4"/>
    <mergeCell ref="I4:L4"/>
    <mergeCell ref="A5:L5"/>
    <mergeCell ref="A6:C6"/>
    <mergeCell ref="D6:L6"/>
    <mergeCell ref="A7:C7"/>
    <mergeCell ref="D7:F7"/>
    <mergeCell ref="G7:H7"/>
    <mergeCell ref="I7:L7"/>
    <mergeCell ref="A8:C8"/>
    <mergeCell ref="D8:F8"/>
    <mergeCell ref="G8:H8"/>
    <mergeCell ref="I8:L8"/>
    <mergeCell ref="A9:C9"/>
    <mergeCell ref="D9:F9"/>
    <mergeCell ref="G9:H9"/>
    <mergeCell ref="I9:L9"/>
    <mergeCell ref="A10:L10"/>
    <mergeCell ref="A11:A13"/>
    <mergeCell ref="B11:B13"/>
    <mergeCell ref="C11:C13"/>
    <mergeCell ref="D11:D13"/>
    <mergeCell ref="L11:L13"/>
    <mergeCell ref="A39:D39"/>
    <mergeCell ref="E39:L39"/>
    <mergeCell ref="A40:D40"/>
    <mergeCell ref="A41:D41"/>
    <mergeCell ref="A42:D42"/>
    <mergeCell ref="A44:L44"/>
    <mergeCell ref="A45:L47"/>
    <mergeCell ref="A49:L49"/>
    <mergeCell ref="A50:L50"/>
    <mergeCell ref="A51:L51"/>
    <mergeCell ref="A52:L52"/>
    <mergeCell ref="A53:L53"/>
    <mergeCell ref="A55:D55"/>
    <mergeCell ref="E55:H55"/>
    <mergeCell ref="I55:L55"/>
    <mergeCell ref="A56:D56"/>
    <mergeCell ref="E56:H56"/>
    <mergeCell ref="I56:L56"/>
    <mergeCell ref="A57:D57"/>
    <mergeCell ref="E57:H57"/>
    <mergeCell ref="I57:L57"/>
    <mergeCell ref="A58:D58"/>
    <mergeCell ref="E58:H58"/>
    <mergeCell ref="I58:L58"/>
    <mergeCell ref="A59:L59"/>
  </mergeCells>
  <conditionalFormatting sqref="E14:K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K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IFSPL/M/CL/015  |  Rev 00  |  Ref: IFSPL/M/SOP/015&amp;C&amp;8 Indus Fire Safety Private Limited – Control Copy&amp;R&amp;8 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0" min="5" style="0" width="17"/>
    <col collapsed="false" customWidth="true" hidden="false" outlineLevel="0" max="11" min="11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  <c r="K3" s="15"/>
    </row>
    <row r="4" customFormat="false" ht="18" hidden="false" customHeight="true" outlineLevel="0" collapsed="false">
      <c r="A4" s="8" t="s">
        <v>92</v>
      </c>
      <c r="B4" s="8"/>
      <c r="C4" s="8" t="s">
        <v>93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  <c r="K4" s="8"/>
    </row>
    <row r="5" customFormat="false" ht="24" hidden="false" customHeight="true" outlineLevel="0" collapsed="false">
      <c r="A5" s="3" t="s">
        <v>492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</row>
    <row r="10" customFormat="false" ht="25.5" hidden="false" customHeight="true" outlineLevel="0" collapsed="false">
      <c r="A10" s="17" t="s">
        <v>493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18" t="s">
        <v>225</v>
      </c>
    </row>
    <row r="12" customFormat="false" ht="42" hidden="false" customHeight="true" outlineLevel="0" collapsed="false">
      <c r="A12" s="18"/>
      <c r="B12" s="18"/>
      <c r="C12" s="18"/>
      <c r="D12" s="18"/>
      <c r="E12" s="19" t="s">
        <v>494</v>
      </c>
      <c r="F12" s="19" t="s">
        <v>495</v>
      </c>
      <c r="G12" s="19" t="s">
        <v>496</v>
      </c>
      <c r="H12" s="19" t="s">
        <v>497</v>
      </c>
      <c r="I12" s="19" t="s">
        <v>498</v>
      </c>
      <c r="J12" s="19" t="s">
        <v>499</v>
      </c>
      <c r="K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364</v>
      </c>
      <c r="F13" s="20" t="s">
        <v>500</v>
      </c>
      <c r="G13" s="20" t="s">
        <v>500</v>
      </c>
      <c r="H13" s="20" t="s">
        <v>500</v>
      </c>
      <c r="I13" s="20" t="s">
        <v>500</v>
      </c>
      <c r="J13" s="20" t="s">
        <v>500</v>
      </c>
      <c r="K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9" customFormat="false" ht="15" hidden="false" customHeight="true" outlineLevel="0" collapsed="false">
      <c r="A49" s="4" t="s">
        <v>501</v>
      </c>
      <c r="B49" s="4"/>
      <c r="C49" s="4"/>
      <c r="D49" s="4"/>
      <c r="E49" s="4"/>
      <c r="F49" s="4"/>
      <c r="G49" s="4"/>
      <c r="H49" s="4"/>
      <c r="I49" s="4"/>
      <c r="J49" s="4"/>
      <c r="K49" s="4"/>
    </row>
    <row r="50" customFormat="false" ht="15" hidden="false" customHeight="true" outlineLevel="0" collapsed="false">
      <c r="A50" s="24" t="s">
        <v>502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1" customFormat="false" ht="15" hidden="false" customHeight="true" outlineLevel="0" collapsed="false">
      <c r="A51" s="24" t="s">
        <v>503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customFormat="false" ht="15" hidden="false" customHeight="true" outlineLevel="0" collapsed="false">
      <c r="A52" s="24" t="s">
        <v>504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r="53" customFormat="false" ht="15" hidden="false" customHeight="true" outlineLevel="0" collapsed="false">
      <c r="A53" s="24" t="s">
        <v>505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</row>
    <row r="55" customFormat="false" ht="15" hidden="false" customHeight="true" outlineLevel="0" collapsed="false">
      <c r="A55" s="18" t="s">
        <v>249</v>
      </c>
      <c r="B55" s="18"/>
      <c r="C55" s="18"/>
      <c r="D55" s="18"/>
      <c r="E55" s="18" t="s">
        <v>250</v>
      </c>
      <c r="F55" s="18"/>
      <c r="G55" s="18"/>
      <c r="H55" s="18"/>
      <c r="I55" s="18" t="s">
        <v>251</v>
      </c>
      <c r="J55" s="18"/>
      <c r="K55" s="18"/>
    </row>
    <row r="56" customFormat="false" ht="21.75" hidden="false" customHeight="true" outlineLevel="0" collapsed="false">
      <c r="A56" s="5" t="s">
        <v>252</v>
      </c>
      <c r="B56" s="5"/>
      <c r="C56" s="5"/>
      <c r="D56" s="5"/>
      <c r="E56" s="5" t="s">
        <v>252</v>
      </c>
      <c r="F56" s="5"/>
      <c r="G56" s="5"/>
      <c r="H56" s="5"/>
      <c r="I56" s="5" t="s">
        <v>252</v>
      </c>
      <c r="J56" s="5"/>
      <c r="K56" s="5"/>
    </row>
    <row r="57" customFormat="false" ht="21.75" hidden="false" customHeight="true" outlineLevel="0" collapsed="false">
      <c r="A57" s="5" t="s">
        <v>253</v>
      </c>
      <c r="B57" s="5"/>
      <c r="C57" s="5"/>
      <c r="D57" s="5"/>
      <c r="E57" s="5" t="s">
        <v>253</v>
      </c>
      <c r="F57" s="5"/>
      <c r="G57" s="5"/>
      <c r="H57" s="5"/>
      <c r="I57" s="5" t="s">
        <v>253</v>
      </c>
      <c r="J57" s="5"/>
      <c r="K57" s="5"/>
    </row>
    <row r="58" customFormat="false" ht="21.75" hidden="false" customHeight="true" outlineLevel="0" collapsed="false">
      <c r="A58" s="5" t="s">
        <v>254</v>
      </c>
      <c r="B58" s="5"/>
      <c r="C58" s="5"/>
      <c r="D58" s="5"/>
      <c r="E58" s="5" t="s">
        <v>254</v>
      </c>
      <c r="F58" s="5"/>
      <c r="G58" s="5"/>
      <c r="H58" s="5"/>
      <c r="I58" s="5" t="s">
        <v>254</v>
      </c>
      <c r="J58" s="5"/>
      <c r="K58" s="5"/>
    </row>
    <row r="59" customFormat="false" ht="25.5" hidden="false" customHeight="true" outlineLevel="0" collapsed="false">
      <c r="A59" s="25" t="s">
        <v>255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</row>
  </sheetData>
  <mergeCells count="58">
    <mergeCell ref="A1:K1"/>
    <mergeCell ref="A2:K2"/>
    <mergeCell ref="A3:B3"/>
    <mergeCell ref="C3:D3"/>
    <mergeCell ref="E3:F3"/>
    <mergeCell ref="G3:H3"/>
    <mergeCell ref="I3:K3"/>
    <mergeCell ref="A4:B4"/>
    <mergeCell ref="C4:D4"/>
    <mergeCell ref="E4:F4"/>
    <mergeCell ref="G4:H4"/>
    <mergeCell ref="I4:K4"/>
    <mergeCell ref="A5:K5"/>
    <mergeCell ref="A6:C6"/>
    <mergeCell ref="D6:K6"/>
    <mergeCell ref="A7:C7"/>
    <mergeCell ref="D7:F7"/>
    <mergeCell ref="G7:H7"/>
    <mergeCell ref="I7:K7"/>
    <mergeCell ref="A8:C8"/>
    <mergeCell ref="D8:F8"/>
    <mergeCell ref="G8:H8"/>
    <mergeCell ref="I8:K8"/>
    <mergeCell ref="A9:C9"/>
    <mergeCell ref="D9:F9"/>
    <mergeCell ref="G9:H9"/>
    <mergeCell ref="I9:K9"/>
    <mergeCell ref="A10:K10"/>
    <mergeCell ref="A11:A13"/>
    <mergeCell ref="B11:B13"/>
    <mergeCell ref="C11:C13"/>
    <mergeCell ref="D11:D13"/>
    <mergeCell ref="K11:K13"/>
    <mergeCell ref="A39:D39"/>
    <mergeCell ref="E39:K39"/>
    <mergeCell ref="A40:D40"/>
    <mergeCell ref="A41:D41"/>
    <mergeCell ref="A42:D42"/>
    <mergeCell ref="A44:K44"/>
    <mergeCell ref="A45:K47"/>
    <mergeCell ref="A49:K49"/>
    <mergeCell ref="A50:K50"/>
    <mergeCell ref="A51:K51"/>
    <mergeCell ref="A52:K52"/>
    <mergeCell ref="A53:K53"/>
    <mergeCell ref="A55:D55"/>
    <mergeCell ref="E55:H55"/>
    <mergeCell ref="I55:K55"/>
    <mergeCell ref="A56:D56"/>
    <mergeCell ref="E56:H56"/>
    <mergeCell ref="I56:K56"/>
    <mergeCell ref="A57:D57"/>
    <mergeCell ref="E57:H57"/>
    <mergeCell ref="I57:K57"/>
    <mergeCell ref="A58:D58"/>
    <mergeCell ref="E58:H58"/>
    <mergeCell ref="I58:K58"/>
    <mergeCell ref="A59:K59"/>
  </mergeCells>
  <conditionalFormatting sqref="E14:J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J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IFSPL/M/CL/016  |  Rev 00  |  Ref: IFSPL/M/SOP/016&amp;C&amp;8 Indus Fire Safety Private Limited – Control Copy&amp;R&amp;8 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9" min="5" style="0" width="17"/>
    <col collapsed="false" customWidth="true" hidden="false" outlineLevel="0" max="10" min="10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</row>
    <row r="4" customFormat="false" ht="18" hidden="false" customHeight="true" outlineLevel="0" collapsed="false">
      <c r="A4" s="8" t="s">
        <v>96</v>
      </c>
      <c r="B4" s="8"/>
      <c r="C4" s="8" t="s">
        <v>97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</row>
    <row r="5" customFormat="false" ht="24" hidden="false" customHeight="true" outlineLevel="0" collapsed="false">
      <c r="A5" s="3" t="s">
        <v>506</v>
      </c>
      <c r="B5" s="3"/>
      <c r="C5" s="3"/>
      <c r="D5" s="3"/>
      <c r="E5" s="3"/>
      <c r="F5" s="3"/>
      <c r="G5" s="3"/>
      <c r="H5" s="3"/>
      <c r="I5" s="3"/>
      <c r="J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4" t="s">
        <v>204</v>
      </c>
      <c r="G7" s="4"/>
      <c r="H7" s="16" t="s">
        <v>205</v>
      </c>
      <c r="I7" s="16"/>
      <c r="J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4" t="s">
        <v>207</v>
      </c>
      <c r="G8" s="4"/>
      <c r="H8" s="16"/>
      <c r="I8" s="16"/>
      <c r="J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4" t="s">
        <v>209</v>
      </c>
      <c r="G9" s="4"/>
      <c r="H9" s="16"/>
      <c r="I9" s="16"/>
      <c r="J9" s="16"/>
    </row>
    <row r="10" customFormat="false" ht="25.5" hidden="false" customHeight="true" outlineLevel="0" collapsed="false">
      <c r="A10" s="17" t="s">
        <v>507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18" t="s">
        <v>225</v>
      </c>
    </row>
    <row r="12" customFormat="false" ht="42" hidden="false" customHeight="true" outlineLevel="0" collapsed="false">
      <c r="A12" s="18"/>
      <c r="B12" s="18"/>
      <c r="C12" s="18"/>
      <c r="D12" s="18"/>
      <c r="E12" s="19" t="s">
        <v>508</v>
      </c>
      <c r="F12" s="19" t="s">
        <v>509</v>
      </c>
      <c r="G12" s="19" t="s">
        <v>510</v>
      </c>
      <c r="H12" s="19" t="s">
        <v>511</v>
      </c>
      <c r="I12" s="19" t="s">
        <v>512</v>
      </c>
      <c r="J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414</v>
      </c>
      <c r="G13" s="20" t="s">
        <v>236</v>
      </c>
      <c r="H13" s="20" t="s">
        <v>236</v>
      </c>
      <c r="I13" s="20" t="s">
        <v>414</v>
      </c>
      <c r="J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9" customFormat="false" ht="15" hidden="false" customHeight="true" outlineLevel="0" collapsed="false">
      <c r="A49" s="4" t="s">
        <v>513</v>
      </c>
      <c r="B49" s="4"/>
      <c r="C49" s="4"/>
      <c r="D49" s="4"/>
      <c r="E49" s="4"/>
      <c r="F49" s="4"/>
      <c r="G49" s="4"/>
      <c r="H49" s="4"/>
      <c r="I49" s="4"/>
      <c r="J49" s="4"/>
    </row>
    <row r="50" customFormat="false" ht="15" hidden="false" customHeight="true" outlineLevel="0" collapsed="false">
      <c r="A50" s="24" t="s">
        <v>514</v>
      </c>
      <c r="B50" s="24"/>
      <c r="C50" s="24"/>
      <c r="D50" s="24"/>
      <c r="E50" s="24"/>
      <c r="F50" s="24"/>
      <c r="G50" s="24"/>
      <c r="H50" s="24"/>
      <c r="I50" s="24"/>
      <c r="J50" s="24"/>
    </row>
    <row r="51" customFormat="false" ht="15" hidden="false" customHeight="true" outlineLevel="0" collapsed="false">
      <c r="A51" s="24" t="s">
        <v>515</v>
      </c>
      <c r="B51" s="24"/>
      <c r="C51" s="24"/>
      <c r="D51" s="24"/>
      <c r="E51" s="24"/>
      <c r="F51" s="24"/>
      <c r="G51" s="24"/>
      <c r="H51" s="24"/>
      <c r="I51" s="24"/>
      <c r="J51" s="24"/>
    </row>
    <row r="52" customFormat="false" ht="15" hidden="false" customHeight="true" outlineLevel="0" collapsed="false">
      <c r="A52" s="24" t="s">
        <v>516</v>
      </c>
      <c r="B52" s="24"/>
      <c r="C52" s="24"/>
      <c r="D52" s="24"/>
      <c r="E52" s="24"/>
      <c r="F52" s="24"/>
      <c r="G52" s="24"/>
      <c r="H52" s="24"/>
      <c r="I52" s="24"/>
      <c r="J52" s="24"/>
    </row>
    <row r="54" customFormat="false" ht="15" hidden="false" customHeight="true" outlineLevel="0" collapsed="false">
      <c r="A54" s="18" t="s">
        <v>249</v>
      </c>
      <c r="B54" s="18"/>
      <c r="C54" s="18"/>
      <c r="D54" s="18" t="s">
        <v>250</v>
      </c>
      <c r="E54" s="18"/>
      <c r="F54" s="18"/>
      <c r="G54" s="18" t="s">
        <v>251</v>
      </c>
      <c r="H54" s="18"/>
      <c r="I54" s="18"/>
      <c r="J54" s="18"/>
    </row>
    <row r="55" customFormat="false" ht="21.75" hidden="false" customHeight="true" outlineLevel="0" collapsed="false">
      <c r="A55" s="5" t="s">
        <v>252</v>
      </c>
      <c r="B55" s="5"/>
      <c r="C55" s="5"/>
      <c r="D55" s="5" t="s">
        <v>252</v>
      </c>
      <c r="E55" s="5"/>
      <c r="F55" s="5"/>
      <c r="G55" s="5" t="s">
        <v>252</v>
      </c>
      <c r="H55" s="5"/>
      <c r="I55" s="5"/>
      <c r="J55" s="5"/>
    </row>
    <row r="56" customFormat="false" ht="21.75" hidden="false" customHeight="true" outlineLevel="0" collapsed="false">
      <c r="A56" s="5" t="s">
        <v>253</v>
      </c>
      <c r="B56" s="5"/>
      <c r="C56" s="5"/>
      <c r="D56" s="5" t="s">
        <v>253</v>
      </c>
      <c r="E56" s="5"/>
      <c r="F56" s="5"/>
      <c r="G56" s="5" t="s">
        <v>253</v>
      </c>
      <c r="H56" s="5"/>
      <c r="I56" s="5"/>
      <c r="J56" s="5"/>
    </row>
    <row r="57" customFormat="false" ht="21.75" hidden="false" customHeight="true" outlineLevel="0" collapsed="false">
      <c r="A57" s="5" t="s">
        <v>254</v>
      </c>
      <c r="B57" s="5"/>
      <c r="C57" s="5"/>
      <c r="D57" s="5" t="s">
        <v>254</v>
      </c>
      <c r="E57" s="5"/>
      <c r="F57" s="5"/>
      <c r="G57" s="5" t="s">
        <v>254</v>
      </c>
      <c r="H57" s="5"/>
      <c r="I57" s="5"/>
      <c r="J57" s="5"/>
    </row>
    <row r="58" customFormat="false" ht="25.5" hidden="false" customHeight="true" outlineLevel="0" collapsed="false">
      <c r="A58" s="25" t="s">
        <v>255</v>
      </c>
      <c r="B58" s="25"/>
      <c r="C58" s="25"/>
      <c r="D58" s="25"/>
      <c r="E58" s="25"/>
      <c r="F58" s="25"/>
      <c r="G58" s="25"/>
      <c r="H58" s="25"/>
      <c r="I58" s="25"/>
      <c r="J58" s="25"/>
    </row>
  </sheetData>
  <mergeCells count="57">
    <mergeCell ref="A1:J1"/>
    <mergeCell ref="A2:J2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5:J5"/>
    <mergeCell ref="A6:C6"/>
    <mergeCell ref="D6:J6"/>
    <mergeCell ref="A7:C7"/>
    <mergeCell ref="D7:E7"/>
    <mergeCell ref="F7:G7"/>
    <mergeCell ref="H7:J7"/>
    <mergeCell ref="A8:C8"/>
    <mergeCell ref="D8:E8"/>
    <mergeCell ref="F8:G8"/>
    <mergeCell ref="H8:J8"/>
    <mergeCell ref="A9:C9"/>
    <mergeCell ref="D9:E9"/>
    <mergeCell ref="F9:G9"/>
    <mergeCell ref="H9:J9"/>
    <mergeCell ref="A10:J10"/>
    <mergeCell ref="A11:A13"/>
    <mergeCell ref="B11:B13"/>
    <mergeCell ref="C11:C13"/>
    <mergeCell ref="D11:D13"/>
    <mergeCell ref="J11:J13"/>
    <mergeCell ref="A39:D39"/>
    <mergeCell ref="E39:J39"/>
    <mergeCell ref="A40:D40"/>
    <mergeCell ref="A41:D41"/>
    <mergeCell ref="A42:D42"/>
    <mergeCell ref="A44:J44"/>
    <mergeCell ref="A45:J47"/>
    <mergeCell ref="A49:J49"/>
    <mergeCell ref="A50:J50"/>
    <mergeCell ref="A51:J51"/>
    <mergeCell ref="A52:J52"/>
    <mergeCell ref="A54:C54"/>
    <mergeCell ref="D54:F54"/>
    <mergeCell ref="G54:J54"/>
    <mergeCell ref="A55:C55"/>
    <mergeCell ref="D55:F55"/>
    <mergeCell ref="G55:J55"/>
    <mergeCell ref="A56:C56"/>
    <mergeCell ref="D56:F56"/>
    <mergeCell ref="G56:J56"/>
    <mergeCell ref="A57:C57"/>
    <mergeCell ref="D57:F57"/>
    <mergeCell ref="G57:J57"/>
    <mergeCell ref="A58:J58"/>
  </mergeCells>
  <conditionalFormatting sqref="E14:I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I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IFSPL/M/CL/017  |  Rev 00  |  Ref: IFSPL/M/SOP/017&amp;C&amp;8 Indus Fire Safety Private Limited – Control Copy&amp;R&amp;8 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1" min="5" style="0" width="17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  <c r="K3" s="15"/>
      <c r="L3" s="15"/>
    </row>
    <row r="4" customFormat="false" ht="18" hidden="false" customHeight="true" outlineLevel="0" collapsed="false">
      <c r="A4" s="8" t="s">
        <v>100</v>
      </c>
      <c r="B4" s="8"/>
      <c r="C4" s="8" t="s">
        <v>101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  <c r="K4" s="8"/>
      <c r="L4" s="8"/>
    </row>
    <row r="5" customFormat="false" ht="24" hidden="false" customHeight="true" outlineLevel="0" collapsed="false">
      <c r="A5" s="3" t="s">
        <v>517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  <c r="L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  <c r="L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  <c r="L9" s="16"/>
    </row>
    <row r="10" customFormat="false" ht="25.5" hidden="false" customHeight="true" outlineLevel="0" collapsed="false">
      <c r="A10" s="17" t="s">
        <v>518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18" t="s">
        <v>225</v>
      </c>
    </row>
    <row r="12" customFormat="false" ht="42" hidden="false" customHeight="true" outlineLevel="0" collapsed="false">
      <c r="A12" s="18"/>
      <c r="B12" s="18"/>
      <c r="C12" s="18"/>
      <c r="D12" s="18"/>
      <c r="E12" s="19" t="s">
        <v>519</v>
      </c>
      <c r="F12" s="19" t="s">
        <v>520</v>
      </c>
      <c r="G12" s="19" t="s">
        <v>521</v>
      </c>
      <c r="H12" s="19" t="s">
        <v>522</v>
      </c>
      <c r="I12" s="19" t="s">
        <v>523</v>
      </c>
      <c r="J12" s="19" t="s">
        <v>524</v>
      </c>
      <c r="K12" s="19" t="s">
        <v>525</v>
      </c>
      <c r="L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236</v>
      </c>
      <c r="H13" s="20" t="s">
        <v>236</v>
      </c>
      <c r="I13" s="20" t="s">
        <v>236</v>
      </c>
      <c r="J13" s="20" t="s">
        <v>236</v>
      </c>
      <c r="K13" s="20" t="s">
        <v>314</v>
      </c>
      <c r="L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9" customFormat="false" ht="15" hidden="false" customHeight="true" outlineLevel="0" collapsed="false">
      <c r="A49" s="4" t="s">
        <v>526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true" outlineLevel="0" collapsed="false">
      <c r="A50" s="24" t="s">
        <v>527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customFormat="false" ht="15" hidden="false" customHeight="true" outlineLevel="0" collapsed="false">
      <c r="A51" s="24" t="s">
        <v>528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customFormat="false" ht="15" hidden="false" customHeight="true" outlineLevel="0" collapsed="false">
      <c r="A52" s="24" t="s">
        <v>529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customFormat="false" ht="15" hidden="false" customHeight="true" outlineLevel="0" collapsed="false">
      <c r="A53" s="24" t="s">
        <v>530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5" customFormat="false" ht="15" hidden="false" customHeight="true" outlineLevel="0" collapsed="false">
      <c r="A55" s="18" t="s">
        <v>249</v>
      </c>
      <c r="B55" s="18"/>
      <c r="C55" s="18"/>
      <c r="D55" s="18"/>
      <c r="E55" s="18" t="s">
        <v>250</v>
      </c>
      <c r="F55" s="18"/>
      <c r="G55" s="18"/>
      <c r="H55" s="18"/>
      <c r="I55" s="18" t="s">
        <v>251</v>
      </c>
      <c r="J55" s="18"/>
      <c r="K55" s="18"/>
      <c r="L55" s="18"/>
    </row>
    <row r="56" customFormat="false" ht="21.75" hidden="false" customHeight="true" outlineLevel="0" collapsed="false">
      <c r="A56" s="5" t="s">
        <v>252</v>
      </c>
      <c r="B56" s="5"/>
      <c r="C56" s="5"/>
      <c r="D56" s="5"/>
      <c r="E56" s="5" t="s">
        <v>252</v>
      </c>
      <c r="F56" s="5"/>
      <c r="G56" s="5"/>
      <c r="H56" s="5"/>
      <c r="I56" s="5" t="s">
        <v>252</v>
      </c>
      <c r="J56" s="5"/>
      <c r="K56" s="5"/>
      <c r="L56" s="5"/>
    </row>
    <row r="57" customFormat="false" ht="21.75" hidden="false" customHeight="true" outlineLevel="0" collapsed="false">
      <c r="A57" s="5" t="s">
        <v>253</v>
      </c>
      <c r="B57" s="5"/>
      <c r="C57" s="5"/>
      <c r="D57" s="5"/>
      <c r="E57" s="5" t="s">
        <v>253</v>
      </c>
      <c r="F57" s="5"/>
      <c r="G57" s="5"/>
      <c r="H57" s="5"/>
      <c r="I57" s="5" t="s">
        <v>253</v>
      </c>
      <c r="J57" s="5"/>
      <c r="K57" s="5"/>
      <c r="L57" s="5"/>
    </row>
    <row r="58" customFormat="false" ht="21.75" hidden="false" customHeight="true" outlineLevel="0" collapsed="false">
      <c r="A58" s="5" t="s">
        <v>254</v>
      </c>
      <c r="B58" s="5"/>
      <c r="C58" s="5"/>
      <c r="D58" s="5"/>
      <c r="E58" s="5" t="s">
        <v>254</v>
      </c>
      <c r="F58" s="5"/>
      <c r="G58" s="5"/>
      <c r="H58" s="5"/>
      <c r="I58" s="5" t="s">
        <v>254</v>
      </c>
      <c r="J58" s="5"/>
      <c r="K58" s="5"/>
      <c r="L58" s="5"/>
    </row>
    <row r="59" customFormat="false" ht="25.5" hidden="false" customHeight="true" outlineLevel="0" collapsed="false">
      <c r="A59" s="25" t="s">
        <v>255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</sheetData>
  <mergeCells count="58">
    <mergeCell ref="A1:L1"/>
    <mergeCell ref="A2:L2"/>
    <mergeCell ref="A3:B3"/>
    <mergeCell ref="C3:D3"/>
    <mergeCell ref="E3:F3"/>
    <mergeCell ref="G3:H3"/>
    <mergeCell ref="I3:L3"/>
    <mergeCell ref="A4:B4"/>
    <mergeCell ref="C4:D4"/>
    <mergeCell ref="E4:F4"/>
    <mergeCell ref="G4:H4"/>
    <mergeCell ref="I4:L4"/>
    <mergeCell ref="A5:L5"/>
    <mergeCell ref="A6:C6"/>
    <mergeCell ref="D6:L6"/>
    <mergeCell ref="A7:C7"/>
    <mergeCell ref="D7:F7"/>
    <mergeCell ref="G7:H7"/>
    <mergeCell ref="I7:L7"/>
    <mergeCell ref="A8:C8"/>
    <mergeCell ref="D8:F8"/>
    <mergeCell ref="G8:H8"/>
    <mergeCell ref="I8:L8"/>
    <mergeCell ref="A9:C9"/>
    <mergeCell ref="D9:F9"/>
    <mergeCell ref="G9:H9"/>
    <mergeCell ref="I9:L9"/>
    <mergeCell ref="A10:L10"/>
    <mergeCell ref="A11:A13"/>
    <mergeCell ref="B11:B13"/>
    <mergeCell ref="C11:C13"/>
    <mergeCell ref="D11:D13"/>
    <mergeCell ref="L11:L13"/>
    <mergeCell ref="A39:D39"/>
    <mergeCell ref="E39:L39"/>
    <mergeCell ref="A40:D40"/>
    <mergeCell ref="A41:D41"/>
    <mergeCell ref="A42:D42"/>
    <mergeCell ref="A44:L44"/>
    <mergeCell ref="A45:L47"/>
    <mergeCell ref="A49:L49"/>
    <mergeCell ref="A50:L50"/>
    <mergeCell ref="A51:L51"/>
    <mergeCell ref="A52:L52"/>
    <mergeCell ref="A53:L53"/>
    <mergeCell ref="A55:D55"/>
    <mergeCell ref="E55:H55"/>
    <mergeCell ref="I55:L55"/>
    <mergeCell ref="A56:D56"/>
    <mergeCell ref="E56:H56"/>
    <mergeCell ref="I56:L56"/>
    <mergeCell ref="A57:D57"/>
    <mergeCell ref="E57:H57"/>
    <mergeCell ref="I57:L57"/>
    <mergeCell ref="A58:D58"/>
    <mergeCell ref="E58:H58"/>
    <mergeCell ref="I58:L58"/>
    <mergeCell ref="A59:L59"/>
  </mergeCells>
  <conditionalFormatting sqref="E14:K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K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IFSPL/M/CL/018  |  Rev 00  |  Ref: IFSPL/M/SOP/018&amp;C&amp;8 Indus Fire Safety Private Limited – Control Copy&amp;R&amp;8 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8" min="5" style="0" width="17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</row>
    <row r="4" customFormat="false" ht="18" hidden="false" customHeight="true" outlineLevel="0" collapsed="false">
      <c r="A4" s="8" t="s">
        <v>104</v>
      </c>
      <c r="B4" s="8"/>
      <c r="C4" s="8" t="s">
        <v>105</v>
      </c>
      <c r="D4" s="8"/>
      <c r="E4" s="8" t="s">
        <v>6</v>
      </c>
      <c r="F4" s="8"/>
      <c r="G4" s="8" t="s">
        <v>199</v>
      </c>
      <c r="H4" s="8"/>
      <c r="I4" s="8" t="s">
        <v>200</v>
      </c>
    </row>
    <row r="5" customFormat="false" ht="24" hidden="false" customHeight="true" outlineLevel="0" collapsed="false">
      <c r="A5" s="3" t="s">
        <v>531</v>
      </c>
      <c r="B5" s="3"/>
      <c r="C5" s="3"/>
      <c r="D5" s="3"/>
      <c r="E5" s="3"/>
      <c r="F5" s="3"/>
      <c r="G5" s="3"/>
      <c r="H5" s="3"/>
      <c r="I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4" t="s">
        <v>204</v>
      </c>
      <c r="F7" s="4"/>
      <c r="G7" s="16" t="s">
        <v>205</v>
      </c>
      <c r="H7" s="16"/>
      <c r="I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4" t="s">
        <v>207</v>
      </c>
      <c r="F8" s="4"/>
      <c r="G8" s="16"/>
      <c r="H8" s="16"/>
      <c r="I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4" t="s">
        <v>209</v>
      </c>
      <c r="F9" s="4"/>
      <c r="G9" s="16"/>
      <c r="H9" s="16"/>
      <c r="I9" s="16"/>
    </row>
    <row r="10" customFormat="false" ht="25.5" hidden="false" customHeight="true" outlineLevel="0" collapsed="false">
      <c r="A10" s="17" t="s">
        <v>532</v>
      </c>
      <c r="B10" s="17"/>
      <c r="C10" s="17"/>
      <c r="D10" s="17"/>
      <c r="E10" s="17"/>
      <c r="F10" s="17"/>
      <c r="G10" s="17"/>
      <c r="H10" s="17"/>
      <c r="I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18" t="s">
        <v>225</v>
      </c>
    </row>
    <row r="12" customFormat="false" ht="54" hidden="false" customHeight="true" outlineLevel="0" collapsed="false">
      <c r="A12" s="18"/>
      <c r="B12" s="18"/>
      <c r="C12" s="18"/>
      <c r="D12" s="18"/>
      <c r="E12" s="19" t="s">
        <v>533</v>
      </c>
      <c r="F12" s="19" t="s">
        <v>534</v>
      </c>
      <c r="G12" s="19" t="s">
        <v>535</v>
      </c>
      <c r="H12" s="19" t="s">
        <v>536</v>
      </c>
      <c r="I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347</v>
      </c>
      <c r="H13" s="20" t="s">
        <v>414</v>
      </c>
      <c r="I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</row>
    <row r="49" customFormat="false" ht="15" hidden="false" customHeight="true" outlineLevel="0" collapsed="false">
      <c r="A49" s="4" t="s">
        <v>537</v>
      </c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A50" s="24" t="s">
        <v>538</v>
      </c>
      <c r="B50" s="24"/>
      <c r="C50" s="24"/>
      <c r="D50" s="24"/>
      <c r="E50" s="24"/>
      <c r="F50" s="24"/>
      <c r="G50" s="24"/>
      <c r="H50" s="24"/>
      <c r="I50" s="24"/>
    </row>
    <row r="51" customFormat="false" ht="15" hidden="false" customHeight="true" outlineLevel="0" collapsed="false">
      <c r="A51" s="24" t="s">
        <v>539</v>
      </c>
      <c r="B51" s="24"/>
      <c r="C51" s="24"/>
      <c r="D51" s="24"/>
      <c r="E51" s="24"/>
      <c r="F51" s="24"/>
      <c r="G51" s="24"/>
      <c r="H51" s="24"/>
      <c r="I51" s="24"/>
    </row>
    <row r="52" customFormat="false" ht="15" hidden="false" customHeight="true" outlineLevel="0" collapsed="false">
      <c r="A52" s="24" t="s">
        <v>540</v>
      </c>
      <c r="B52" s="24"/>
      <c r="C52" s="24"/>
      <c r="D52" s="24"/>
      <c r="E52" s="24"/>
      <c r="F52" s="24"/>
      <c r="G52" s="24"/>
      <c r="H52" s="24"/>
      <c r="I52" s="24"/>
    </row>
    <row r="53" customFormat="false" ht="15" hidden="false" customHeight="true" outlineLevel="0" collapsed="false">
      <c r="A53" s="24" t="s">
        <v>541</v>
      </c>
      <c r="B53" s="24"/>
      <c r="C53" s="24"/>
      <c r="D53" s="24"/>
      <c r="E53" s="24"/>
      <c r="F53" s="24"/>
      <c r="G53" s="24"/>
      <c r="H53" s="24"/>
      <c r="I53" s="24"/>
    </row>
    <row r="55" customFormat="false" ht="15" hidden="false" customHeight="true" outlineLevel="0" collapsed="false">
      <c r="A55" s="18" t="s">
        <v>249</v>
      </c>
      <c r="B55" s="18"/>
      <c r="C55" s="18"/>
      <c r="D55" s="18" t="s">
        <v>250</v>
      </c>
      <c r="E55" s="18"/>
      <c r="F55" s="18"/>
      <c r="G55" s="18" t="s">
        <v>251</v>
      </c>
      <c r="H55" s="18"/>
      <c r="I55" s="18"/>
    </row>
    <row r="56" customFormat="false" ht="21.75" hidden="false" customHeight="true" outlineLevel="0" collapsed="false">
      <c r="A56" s="5" t="s">
        <v>252</v>
      </c>
      <c r="B56" s="5"/>
      <c r="C56" s="5"/>
      <c r="D56" s="5" t="s">
        <v>252</v>
      </c>
      <c r="E56" s="5"/>
      <c r="F56" s="5"/>
      <c r="G56" s="5" t="s">
        <v>252</v>
      </c>
      <c r="H56" s="5"/>
      <c r="I56" s="5"/>
    </row>
    <row r="57" customFormat="false" ht="21.75" hidden="false" customHeight="true" outlineLevel="0" collapsed="false">
      <c r="A57" s="5" t="s">
        <v>253</v>
      </c>
      <c r="B57" s="5"/>
      <c r="C57" s="5"/>
      <c r="D57" s="5" t="s">
        <v>253</v>
      </c>
      <c r="E57" s="5"/>
      <c r="F57" s="5"/>
      <c r="G57" s="5" t="s">
        <v>253</v>
      </c>
      <c r="H57" s="5"/>
      <c r="I57" s="5"/>
    </row>
    <row r="58" customFormat="false" ht="21.75" hidden="false" customHeight="true" outlineLevel="0" collapsed="false">
      <c r="A58" s="5" t="s">
        <v>254</v>
      </c>
      <c r="B58" s="5"/>
      <c r="C58" s="5"/>
      <c r="D58" s="5" t="s">
        <v>254</v>
      </c>
      <c r="E58" s="5"/>
      <c r="F58" s="5"/>
      <c r="G58" s="5" t="s">
        <v>254</v>
      </c>
      <c r="H58" s="5"/>
      <c r="I58" s="5"/>
    </row>
    <row r="59" customFormat="false" ht="25.5" hidden="false" customHeight="true" outlineLevel="0" collapsed="false">
      <c r="A59" s="25" t="s">
        <v>255</v>
      </c>
      <c r="B59" s="25"/>
      <c r="C59" s="25"/>
      <c r="D59" s="25"/>
      <c r="E59" s="25"/>
      <c r="F59" s="25"/>
      <c r="G59" s="25"/>
      <c r="H59" s="25"/>
      <c r="I59" s="25"/>
    </row>
  </sheetData>
  <mergeCells count="53">
    <mergeCell ref="A1:I1"/>
    <mergeCell ref="A2:I2"/>
    <mergeCell ref="A3:B3"/>
    <mergeCell ref="C3:D3"/>
    <mergeCell ref="E3:F3"/>
    <mergeCell ref="G3:H3"/>
    <mergeCell ref="A4:B4"/>
    <mergeCell ref="C4:D4"/>
    <mergeCell ref="E4:F4"/>
    <mergeCell ref="G4:H4"/>
    <mergeCell ref="A5:I5"/>
    <mergeCell ref="A6:C6"/>
    <mergeCell ref="D6:I6"/>
    <mergeCell ref="A7:C7"/>
    <mergeCell ref="E7:F7"/>
    <mergeCell ref="G7:I7"/>
    <mergeCell ref="A8:C8"/>
    <mergeCell ref="E8:F8"/>
    <mergeCell ref="G8:I8"/>
    <mergeCell ref="A9:C9"/>
    <mergeCell ref="E9:F9"/>
    <mergeCell ref="G9:I9"/>
    <mergeCell ref="A10:I10"/>
    <mergeCell ref="A11:A13"/>
    <mergeCell ref="B11:B13"/>
    <mergeCell ref="C11:C13"/>
    <mergeCell ref="D11:D13"/>
    <mergeCell ref="I11:I13"/>
    <mergeCell ref="A39:D39"/>
    <mergeCell ref="E39:I39"/>
    <mergeCell ref="A40:D40"/>
    <mergeCell ref="A41:D41"/>
    <mergeCell ref="A42:D42"/>
    <mergeCell ref="A44:I44"/>
    <mergeCell ref="A45:I47"/>
    <mergeCell ref="A49:I49"/>
    <mergeCell ref="A50:I50"/>
    <mergeCell ref="A51:I51"/>
    <mergeCell ref="A52:I52"/>
    <mergeCell ref="A53:I53"/>
    <mergeCell ref="A55:C55"/>
    <mergeCell ref="D55:F55"/>
    <mergeCell ref="G55:I55"/>
    <mergeCell ref="A56:C56"/>
    <mergeCell ref="D56:F56"/>
    <mergeCell ref="G56:I56"/>
    <mergeCell ref="A57:C57"/>
    <mergeCell ref="D57:F57"/>
    <mergeCell ref="G57:I57"/>
    <mergeCell ref="A58:C58"/>
    <mergeCell ref="D58:F58"/>
    <mergeCell ref="G58:I58"/>
    <mergeCell ref="A59:I59"/>
  </mergeCells>
  <conditionalFormatting sqref="E14:H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H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IFSPL/M/CL/019  |  Rev 00  |  Ref: IFSPL/M/SOP/019&amp;C&amp;8 Indus Fire Safety Private Limited – Control Copy&amp;R&amp;8 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1" min="5" style="0" width="17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  <c r="K3" s="15"/>
      <c r="L3" s="15"/>
    </row>
    <row r="4" customFormat="false" ht="18" hidden="false" customHeight="true" outlineLevel="0" collapsed="false">
      <c r="A4" s="8" t="s">
        <v>108</v>
      </c>
      <c r="B4" s="8"/>
      <c r="C4" s="8" t="s">
        <v>109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  <c r="K4" s="8"/>
      <c r="L4" s="8"/>
    </row>
    <row r="5" customFormat="false" ht="24" hidden="false" customHeight="true" outlineLevel="0" collapsed="false">
      <c r="A5" s="3" t="s">
        <v>542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  <c r="L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  <c r="L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  <c r="L9" s="16"/>
    </row>
    <row r="10" customFormat="false" ht="25.5" hidden="false" customHeight="true" outlineLevel="0" collapsed="false">
      <c r="A10" s="17" t="s">
        <v>543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18" t="s">
        <v>225</v>
      </c>
    </row>
    <row r="12" customFormat="false" ht="42" hidden="false" customHeight="true" outlineLevel="0" collapsed="false">
      <c r="A12" s="18"/>
      <c r="B12" s="18"/>
      <c r="C12" s="18"/>
      <c r="D12" s="18"/>
      <c r="E12" s="19" t="s">
        <v>544</v>
      </c>
      <c r="F12" s="19" t="s">
        <v>545</v>
      </c>
      <c r="G12" s="19" t="s">
        <v>546</v>
      </c>
      <c r="H12" s="19" t="s">
        <v>547</v>
      </c>
      <c r="I12" s="19" t="s">
        <v>548</v>
      </c>
      <c r="J12" s="19" t="s">
        <v>549</v>
      </c>
      <c r="K12" s="19" t="s">
        <v>550</v>
      </c>
      <c r="L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500</v>
      </c>
      <c r="F13" s="20" t="s">
        <v>500</v>
      </c>
      <c r="G13" s="20" t="s">
        <v>500</v>
      </c>
      <c r="H13" s="20" t="s">
        <v>500</v>
      </c>
      <c r="I13" s="20" t="s">
        <v>500</v>
      </c>
      <c r="J13" s="20" t="s">
        <v>500</v>
      </c>
      <c r="K13" s="20" t="s">
        <v>500</v>
      </c>
      <c r="L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9" customFormat="false" ht="15" hidden="false" customHeight="true" outlineLevel="0" collapsed="false">
      <c r="A49" s="4" t="s">
        <v>551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true" outlineLevel="0" collapsed="false">
      <c r="A50" s="24" t="s">
        <v>552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customFormat="false" ht="15" hidden="false" customHeight="true" outlineLevel="0" collapsed="false">
      <c r="A51" s="24" t="s">
        <v>553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customFormat="false" ht="15" hidden="false" customHeight="true" outlineLevel="0" collapsed="false">
      <c r="A52" s="24" t="s">
        <v>554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customFormat="false" ht="15" hidden="false" customHeight="true" outlineLevel="0" collapsed="false">
      <c r="A53" s="24" t="s">
        <v>555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5" customFormat="false" ht="15" hidden="false" customHeight="true" outlineLevel="0" collapsed="false">
      <c r="A55" s="18" t="s">
        <v>249</v>
      </c>
      <c r="B55" s="18"/>
      <c r="C55" s="18"/>
      <c r="D55" s="18"/>
      <c r="E55" s="18" t="s">
        <v>250</v>
      </c>
      <c r="F55" s="18"/>
      <c r="G55" s="18"/>
      <c r="H55" s="18"/>
      <c r="I55" s="18" t="s">
        <v>251</v>
      </c>
      <c r="J55" s="18"/>
      <c r="K55" s="18"/>
      <c r="L55" s="18"/>
    </row>
    <row r="56" customFormat="false" ht="21.75" hidden="false" customHeight="true" outlineLevel="0" collapsed="false">
      <c r="A56" s="5" t="s">
        <v>252</v>
      </c>
      <c r="B56" s="5"/>
      <c r="C56" s="5"/>
      <c r="D56" s="5"/>
      <c r="E56" s="5" t="s">
        <v>252</v>
      </c>
      <c r="F56" s="5"/>
      <c r="G56" s="5"/>
      <c r="H56" s="5"/>
      <c r="I56" s="5" t="s">
        <v>252</v>
      </c>
      <c r="J56" s="5"/>
      <c r="K56" s="5"/>
      <c r="L56" s="5"/>
    </row>
    <row r="57" customFormat="false" ht="21.75" hidden="false" customHeight="true" outlineLevel="0" collapsed="false">
      <c r="A57" s="5" t="s">
        <v>253</v>
      </c>
      <c r="B57" s="5"/>
      <c r="C57" s="5"/>
      <c r="D57" s="5"/>
      <c r="E57" s="5" t="s">
        <v>253</v>
      </c>
      <c r="F57" s="5"/>
      <c r="G57" s="5"/>
      <c r="H57" s="5"/>
      <c r="I57" s="5" t="s">
        <v>253</v>
      </c>
      <c r="J57" s="5"/>
      <c r="K57" s="5"/>
      <c r="L57" s="5"/>
    </row>
    <row r="58" customFormat="false" ht="21.75" hidden="false" customHeight="true" outlineLevel="0" collapsed="false">
      <c r="A58" s="5" t="s">
        <v>254</v>
      </c>
      <c r="B58" s="5"/>
      <c r="C58" s="5"/>
      <c r="D58" s="5"/>
      <c r="E58" s="5" t="s">
        <v>254</v>
      </c>
      <c r="F58" s="5"/>
      <c r="G58" s="5"/>
      <c r="H58" s="5"/>
      <c r="I58" s="5" t="s">
        <v>254</v>
      </c>
      <c r="J58" s="5"/>
      <c r="K58" s="5"/>
      <c r="L58" s="5"/>
    </row>
    <row r="59" customFormat="false" ht="25.5" hidden="false" customHeight="true" outlineLevel="0" collapsed="false">
      <c r="A59" s="25" t="s">
        <v>255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</sheetData>
  <mergeCells count="58">
    <mergeCell ref="A1:L1"/>
    <mergeCell ref="A2:L2"/>
    <mergeCell ref="A3:B3"/>
    <mergeCell ref="C3:D3"/>
    <mergeCell ref="E3:F3"/>
    <mergeCell ref="G3:H3"/>
    <mergeCell ref="I3:L3"/>
    <mergeCell ref="A4:B4"/>
    <mergeCell ref="C4:D4"/>
    <mergeCell ref="E4:F4"/>
    <mergeCell ref="G4:H4"/>
    <mergeCell ref="I4:L4"/>
    <mergeCell ref="A5:L5"/>
    <mergeCell ref="A6:C6"/>
    <mergeCell ref="D6:L6"/>
    <mergeCell ref="A7:C7"/>
    <mergeCell ref="D7:F7"/>
    <mergeCell ref="G7:H7"/>
    <mergeCell ref="I7:L7"/>
    <mergeCell ref="A8:C8"/>
    <mergeCell ref="D8:F8"/>
    <mergeCell ref="G8:H8"/>
    <mergeCell ref="I8:L8"/>
    <mergeCell ref="A9:C9"/>
    <mergeCell ref="D9:F9"/>
    <mergeCell ref="G9:H9"/>
    <mergeCell ref="I9:L9"/>
    <mergeCell ref="A10:L10"/>
    <mergeCell ref="A11:A13"/>
    <mergeCell ref="B11:B13"/>
    <mergeCell ref="C11:C13"/>
    <mergeCell ref="D11:D13"/>
    <mergeCell ref="L11:L13"/>
    <mergeCell ref="A39:D39"/>
    <mergeCell ref="E39:L39"/>
    <mergeCell ref="A40:D40"/>
    <mergeCell ref="A41:D41"/>
    <mergeCell ref="A42:D42"/>
    <mergeCell ref="A44:L44"/>
    <mergeCell ref="A45:L47"/>
    <mergeCell ref="A49:L49"/>
    <mergeCell ref="A50:L50"/>
    <mergeCell ref="A51:L51"/>
    <mergeCell ref="A52:L52"/>
    <mergeCell ref="A53:L53"/>
    <mergeCell ref="A55:D55"/>
    <mergeCell ref="E55:H55"/>
    <mergeCell ref="I55:L55"/>
    <mergeCell ref="A56:D56"/>
    <mergeCell ref="E56:H56"/>
    <mergeCell ref="I56:L56"/>
    <mergeCell ref="A57:D57"/>
    <mergeCell ref="E57:H57"/>
    <mergeCell ref="I57:L57"/>
    <mergeCell ref="A58:D58"/>
    <mergeCell ref="E58:H58"/>
    <mergeCell ref="I58:L58"/>
    <mergeCell ref="A59:L59"/>
  </mergeCells>
  <conditionalFormatting sqref="E14:K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K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IFSPL/M/CL/020  |  Rev 00  |  Ref: IFSPL/M/SOP/020&amp;C&amp;8 Indus Fire Safety Private Limited – Control Copy&amp;R&amp;8 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K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0" min="5" style="0" width="17"/>
    <col collapsed="false" customWidth="true" hidden="false" outlineLevel="0" max="11" min="11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  <c r="K3" s="15"/>
    </row>
    <row r="4" customFormat="false" ht="18" hidden="false" customHeight="true" outlineLevel="0" collapsed="false">
      <c r="A4" s="8" t="s">
        <v>112</v>
      </c>
      <c r="B4" s="8"/>
      <c r="C4" s="8" t="s">
        <v>113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  <c r="K4" s="8"/>
    </row>
    <row r="5" customFormat="false" ht="24" hidden="false" customHeight="true" outlineLevel="0" collapsed="false">
      <c r="A5" s="3" t="s">
        <v>556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</row>
    <row r="10" customFormat="false" ht="25.5" hidden="false" customHeight="true" outlineLevel="0" collapsed="false">
      <c r="A10" s="17" t="s">
        <v>557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18" t="s">
        <v>225</v>
      </c>
    </row>
    <row r="12" customFormat="false" ht="42" hidden="false" customHeight="true" outlineLevel="0" collapsed="false">
      <c r="A12" s="18"/>
      <c r="B12" s="18"/>
      <c r="C12" s="18"/>
      <c r="D12" s="18"/>
      <c r="E12" s="19" t="s">
        <v>558</v>
      </c>
      <c r="F12" s="19" t="s">
        <v>545</v>
      </c>
      <c r="G12" s="19" t="s">
        <v>559</v>
      </c>
      <c r="H12" s="19" t="s">
        <v>560</v>
      </c>
      <c r="I12" s="19" t="s">
        <v>561</v>
      </c>
      <c r="J12" s="19" t="s">
        <v>562</v>
      </c>
      <c r="K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500</v>
      </c>
      <c r="F13" s="20" t="s">
        <v>500</v>
      </c>
      <c r="G13" s="20" t="s">
        <v>500</v>
      </c>
      <c r="H13" s="20" t="s">
        <v>500</v>
      </c>
      <c r="I13" s="20" t="s">
        <v>500</v>
      </c>
      <c r="J13" s="20" t="s">
        <v>563</v>
      </c>
      <c r="K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9" customFormat="false" ht="15" hidden="false" customHeight="true" outlineLevel="0" collapsed="false">
      <c r="A49" s="4" t="s">
        <v>564</v>
      </c>
      <c r="B49" s="4"/>
      <c r="C49" s="4"/>
      <c r="D49" s="4"/>
      <c r="E49" s="4"/>
      <c r="F49" s="4"/>
      <c r="G49" s="4"/>
      <c r="H49" s="4"/>
      <c r="I49" s="4"/>
      <c r="J49" s="4"/>
      <c r="K49" s="4"/>
    </row>
    <row r="50" customFormat="false" ht="15" hidden="false" customHeight="true" outlineLevel="0" collapsed="false">
      <c r="A50" s="24" t="s">
        <v>565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1" customFormat="false" ht="15" hidden="false" customHeight="true" outlineLevel="0" collapsed="false">
      <c r="A51" s="24" t="s">
        <v>566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customFormat="false" ht="15" hidden="false" customHeight="true" outlineLevel="0" collapsed="false">
      <c r="A52" s="24" t="s">
        <v>567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r="54" customFormat="false" ht="15" hidden="false" customHeight="true" outlineLevel="0" collapsed="false">
      <c r="A54" s="18" t="s">
        <v>249</v>
      </c>
      <c r="B54" s="18"/>
      <c r="C54" s="18"/>
      <c r="D54" s="18"/>
      <c r="E54" s="18" t="s">
        <v>250</v>
      </c>
      <c r="F54" s="18"/>
      <c r="G54" s="18"/>
      <c r="H54" s="18"/>
      <c r="I54" s="18" t="s">
        <v>251</v>
      </c>
      <c r="J54" s="18"/>
      <c r="K54" s="18"/>
    </row>
    <row r="55" customFormat="false" ht="21.75" hidden="false" customHeight="true" outlineLevel="0" collapsed="false">
      <c r="A55" s="5" t="s">
        <v>252</v>
      </c>
      <c r="B55" s="5"/>
      <c r="C55" s="5"/>
      <c r="D55" s="5"/>
      <c r="E55" s="5" t="s">
        <v>252</v>
      </c>
      <c r="F55" s="5"/>
      <c r="G55" s="5"/>
      <c r="H55" s="5"/>
      <c r="I55" s="5" t="s">
        <v>252</v>
      </c>
      <c r="J55" s="5"/>
      <c r="K55" s="5"/>
    </row>
    <row r="56" customFormat="false" ht="21.75" hidden="false" customHeight="true" outlineLevel="0" collapsed="false">
      <c r="A56" s="5" t="s">
        <v>253</v>
      </c>
      <c r="B56" s="5"/>
      <c r="C56" s="5"/>
      <c r="D56" s="5"/>
      <c r="E56" s="5" t="s">
        <v>253</v>
      </c>
      <c r="F56" s="5"/>
      <c r="G56" s="5"/>
      <c r="H56" s="5"/>
      <c r="I56" s="5" t="s">
        <v>253</v>
      </c>
      <c r="J56" s="5"/>
      <c r="K56" s="5"/>
    </row>
    <row r="57" customFormat="false" ht="21.75" hidden="false" customHeight="true" outlineLevel="0" collapsed="false">
      <c r="A57" s="5" t="s">
        <v>254</v>
      </c>
      <c r="B57" s="5"/>
      <c r="C57" s="5"/>
      <c r="D57" s="5"/>
      <c r="E57" s="5" t="s">
        <v>254</v>
      </c>
      <c r="F57" s="5"/>
      <c r="G57" s="5"/>
      <c r="H57" s="5"/>
      <c r="I57" s="5" t="s">
        <v>254</v>
      </c>
      <c r="J57" s="5"/>
      <c r="K57" s="5"/>
    </row>
    <row r="58" customFormat="false" ht="25.5" hidden="false" customHeight="true" outlineLevel="0" collapsed="false">
      <c r="A58" s="25" t="s">
        <v>255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</row>
  </sheetData>
  <mergeCells count="57">
    <mergeCell ref="A1:K1"/>
    <mergeCell ref="A2:K2"/>
    <mergeCell ref="A3:B3"/>
    <mergeCell ref="C3:D3"/>
    <mergeCell ref="E3:F3"/>
    <mergeCell ref="G3:H3"/>
    <mergeCell ref="I3:K3"/>
    <mergeCell ref="A4:B4"/>
    <mergeCell ref="C4:D4"/>
    <mergeCell ref="E4:F4"/>
    <mergeCell ref="G4:H4"/>
    <mergeCell ref="I4:K4"/>
    <mergeCell ref="A5:K5"/>
    <mergeCell ref="A6:C6"/>
    <mergeCell ref="D6:K6"/>
    <mergeCell ref="A7:C7"/>
    <mergeCell ref="D7:F7"/>
    <mergeCell ref="G7:H7"/>
    <mergeCell ref="I7:K7"/>
    <mergeCell ref="A8:C8"/>
    <mergeCell ref="D8:F8"/>
    <mergeCell ref="G8:H8"/>
    <mergeCell ref="I8:K8"/>
    <mergeCell ref="A9:C9"/>
    <mergeCell ref="D9:F9"/>
    <mergeCell ref="G9:H9"/>
    <mergeCell ref="I9:K9"/>
    <mergeCell ref="A10:K10"/>
    <mergeCell ref="A11:A13"/>
    <mergeCell ref="B11:B13"/>
    <mergeCell ref="C11:C13"/>
    <mergeCell ref="D11:D13"/>
    <mergeCell ref="K11:K13"/>
    <mergeCell ref="A39:D39"/>
    <mergeCell ref="E39:K39"/>
    <mergeCell ref="A40:D40"/>
    <mergeCell ref="A41:D41"/>
    <mergeCell ref="A42:D42"/>
    <mergeCell ref="A44:K44"/>
    <mergeCell ref="A45:K47"/>
    <mergeCell ref="A49:K49"/>
    <mergeCell ref="A50:K50"/>
    <mergeCell ref="A51:K51"/>
    <mergeCell ref="A52:K52"/>
    <mergeCell ref="A54:D54"/>
    <mergeCell ref="E54:H54"/>
    <mergeCell ref="I54:K54"/>
    <mergeCell ref="A55:D55"/>
    <mergeCell ref="E55:H55"/>
    <mergeCell ref="I55:K55"/>
    <mergeCell ref="A56:D56"/>
    <mergeCell ref="E56:H56"/>
    <mergeCell ref="I56:K56"/>
    <mergeCell ref="A57:D57"/>
    <mergeCell ref="E57:H57"/>
    <mergeCell ref="I57:K57"/>
    <mergeCell ref="A58:K58"/>
  </mergeCells>
  <conditionalFormatting sqref="E14:J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J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IFSPL/M/CL/021  |  Rev 00  |  Ref: IFSPL/M/SOP/021&amp;C&amp;8 Indus Fire Safety Private Limited – Control Copy&amp;R&amp;8 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1" min="5" style="0" width="17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  <c r="K3" s="15"/>
      <c r="L3" s="15"/>
    </row>
    <row r="4" customFormat="false" ht="18" hidden="false" customHeight="true" outlineLevel="0" collapsed="false">
      <c r="A4" s="8" t="s">
        <v>116</v>
      </c>
      <c r="B4" s="8"/>
      <c r="C4" s="8" t="s">
        <v>117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  <c r="K4" s="8"/>
      <c r="L4" s="8"/>
    </row>
    <row r="5" customFormat="false" ht="24" hidden="false" customHeight="true" outlineLevel="0" collapsed="false">
      <c r="A5" s="3" t="s">
        <v>568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  <c r="L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  <c r="L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  <c r="L9" s="16"/>
    </row>
    <row r="10" customFormat="false" ht="25.5" hidden="false" customHeight="true" outlineLevel="0" collapsed="false">
      <c r="A10" s="17" t="s">
        <v>569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18" t="s">
        <v>225</v>
      </c>
    </row>
    <row r="12" customFormat="false" ht="42" hidden="false" customHeight="true" outlineLevel="0" collapsed="false">
      <c r="A12" s="18"/>
      <c r="B12" s="18"/>
      <c r="C12" s="18"/>
      <c r="D12" s="18"/>
      <c r="E12" s="19" t="s">
        <v>403</v>
      </c>
      <c r="F12" s="19" t="s">
        <v>570</v>
      </c>
      <c r="G12" s="19" t="s">
        <v>571</v>
      </c>
      <c r="H12" s="19" t="s">
        <v>572</v>
      </c>
      <c r="I12" s="19" t="s">
        <v>573</v>
      </c>
      <c r="J12" s="19" t="s">
        <v>574</v>
      </c>
      <c r="K12" s="19" t="s">
        <v>411</v>
      </c>
      <c r="L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412</v>
      </c>
      <c r="F13" s="20" t="s">
        <v>413</v>
      </c>
      <c r="G13" s="20" t="s">
        <v>413</v>
      </c>
      <c r="H13" s="20" t="s">
        <v>413</v>
      </c>
      <c r="I13" s="20" t="s">
        <v>413</v>
      </c>
      <c r="J13" s="20" t="s">
        <v>413</v>
      </c>
      <c r="K13" s="20" t="s">
        <v>413</v>
      </c>
      <c r="L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9" customFormat="false" ht="15" hidden="false" customHeight="true" outlineLevel="0" collapsed="false">
      <c r="A49" s="4" t="s">
        <v>575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true" outlineLevel="0" collapsed="false">
      <c r="A50" s="24" t="s">
        <v>576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customFormat="false" ht="15" hidden="false" customHeight="true" outlineLevel="0" collapsed="false">
      <c r="A51" s="24" t="s">
        <v>577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customFormat="false" ht="15" hidden="false" customHeight="true" outlineLevel="0" collapsed="false">
      <c r="A52" s="24" t="s">
        <v>578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customFormat="false" ht="15" hidden="false" customHeight="true" outlineLevel="0" collapsed="false">
      <c r="A53" s="24" t="s">
        <v>579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5" customFormat="false" ht="15" hidden="false" customHeight="true" outlineLevel="0" collapsed="false">
      <c r="A55" s="18" t="s">
        <v>249</v>
      </c>
      <c r="B55" s="18"/>
      <c r="C55" s="18"/>
      <c r="D55" s="18"/>
      <c r="E55" s="18" t="s">
        <v>250</v>
      </c>
      <c r="F55" s="18"/>
      <c r="G55" s="18"/>
      <c r="H55" s="18"/>
      <c r="I55" s="18" t="s">
        <v>251</v>
      </c>
      <c r="J55" s="18"/>
      <c r="K55" s="18"/>
      <c r="L55" s="18"/>
    </row>
    <row r="56" customFormat="false" ht="21.75" hidden="false" customHeight="true" outlineLevel="0" collapsed="false">
      <c r="A56" s="5" t="s">
        <v>252</v>
      </c>
      <c r="B56" s="5"/>
      <c r="C56" s="5"/>
      <c r="D56" s="5"/>
      <c r="E56" s="5" t="s">
        <v>252</v>
      </c>
      <c r="F56" s="5"/>
      <c r="G56" s="5"/>
      <c r="H56" s="5"/>
      <c r="I56" s="5" t="s">
        <v>252</v>
      </c>
      <c r="J56" s="5"/>
      <c r="K56" s="5"/>
      <c r="L56" s="5"/>
    </row>
    <row r="57" customFormat="false" ht="21.75" hidden="false" customHeight="true" outlineLevel="0" collapsed="false">
      <c r="A57" s="5" t="s">
        <v>253</v>
      </c>
      <c r="B57" s="5"/>
      <c r="C57" s="5"/>
      <c r="D57" s="5"/>
      <c r="E57" s="5" t="s">
        <v>253</v>
      </c>
      <c r="F57" s="5"/>
      <c r="G57" s="5"/>
      <c r="H57" s="5"/>
      <c r="I57" s="5" t="s">
        <v>253</v>
      </c>
      <c r="J57" s="5"/>
      <c r="K57" s="5"/>
      <c r="L57" s="5"/>
    </row>
    <row r="58" customFormat="false" ht="21.75" hidden="false" customHeight="true" outlineLevel="0" collapsed="false">
      <c r="A58" s="5" t="s">
        <v>254</v>
      </c>
      <c r="B58" s="5"/>
      <c r="C58" s="5"/>
      <c r="D58" s="5"/>
      <c r="E58" s="5" t="s">
        <v>254</v>
      </c>
      <c r="F58" s="5"/>
      <c r="G58" s="5"/>
      <c r="H58" s="5"/>
      <c r="I58" s="5" t="s">
        <v>254</v>
      </c>
      <c r="J58" s="5"/>
      <c r="K58" s="5"/>
      <c r="L58" s="5"/>
    </row>
    <row r="59" customFormat="false" ht="25.5" hidden="false" customHeight="true" outlineLevel="0" collapsed="false">
      <c r="A59" s="25" t="s">
        <v>255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</sheetData>
  <mergeCells count="58">
    <mergeCell ref="A1:L1"/>
    <mergeCell ref="A2:L2"/>
    <mergeCell ref="A3:B3"/>
    <mergeCell ref="C3:D3"/>
    <mergeCell ref="E3:F3"/>
    <mergeCell ref="G3:H3"/>
    <mergeCell ref="I3:L3"/>
    <mergeCell ref="A4:B4"/>
    <mergeCell ref="C4:D4"/>
    <mergeCell ref="E4:F4"/>
    <mergeCell ref="G4:H4"/>
    <mergeCell ref="I4:L4"/>
    <mergeCell ref="A5:L5"/>
    <mergeCell ref="A6:C6"/>
    <mergeCell ref="D6:L6"/>
    <mergeCell ref="A7:C7"/>
    <mergeCell ref="D7:F7"/>
    <mergeCell ref="G7:H7"/>
    <mergeCell ref="I7:L7"/>
    <mergeCell ref="A8:C8"/>
    <mergeCell ref="D8:F8"/>
    <mergeCell ref="G8:H8"/>
    <mergeCell ref="I8:L8"/>
    <mergeCell ref="A9:C9"/>
    <mergeCell ref="D9:F9"/>
    <mergeCell ref="G9:H9"/>
    <mergeCell ref="I9:L9"/>
    <mergeCell ref="A10:L10"/>
    <mergeCell ref="A11:A13"/>
    <mergeCell ref="B11:B13"/>
    <mergeCell ref="C11:C13"/>
    <mergeCell ref="D11:D13"/>
    <mergeCell ref="L11:L13"/>
    <mergeCell ref="A39:D39"/>
    <mergeCell ref="E39:L39"/>
    <mergeCell ref="A40:D40"/>
    <mergeCell ref="A41:D41"/>
    <mergeCell ref="A42:D42"/>
    <mergeCell ref="A44:L44"/>
    <mergeCell ref="A45:L47"/>
    <mergeCell ref="A49:L49"/>
    <mergeCell ref="A50:L50"/>
    <mergeCell ref="A51:L51"/>
    <mergeCell ref="A52:L52"/>
    <mergeCell ref="A53:L53"/>
    <mergeCell ref="A55:D55"/>
    <mergeCell ref="E55:H55"/>
    <mergeCell ref="I55:L55"/>
    <mergeCell ref="A56:D56"/>
    <mergeCell ref="E56:H56"/>
    <mergeCell ref="I56:L56"/>
    <mergeCell ref="A57:D57"/>
    <mergeCell ref="E57:H57"/>
    <mergeCell ref="I57:L57"/>
    <mergeCell ref="A58:D58"/>
    <mergeCell ref="E58:H58"/>
    <mergeCell ref="I58:L58"/>
    <mergeCell ref="A59:L59"/>
  </mergeCells>
  <conditionalFormatting sqref="E14:K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K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IFSPL/M/CL/022  |  Rev 00  |  Ref: IFSPL/M/SOP/022&amp;C&amp;8 Indus Fire Safety Private Limited – Control Copy&amp;R&amp;8 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1" min="5" style="0" width="17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  <c r="K3" s="15"/>
      <c r="L3" s="15"/>
    </row>
    <row r="4" customFormat="false" ht="18" hidden="false" customHeight="true" outlineLevel="0" collapsed="false">
      <c r="A4" s="8" t="s">
        <v>120</v>
      </c>
      <c r="B4" s="8"/>
      <c r="C4" s="8" t="s">
        <v>121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  <c r="K4" s="8"/>
      <c r="L4" s="8"/>
    </row>
    <row r="5" customFormat="false" ht="24" hidden="false" customHeight="true" outlineLevel="0" collapsed="false">
      <c r="A5" s="3" t="s">
        <v>580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16"/>
      <c r="G7" s="4" t="s">
        <v>204</v>
      </c>
      <c r="H7" s="4"/>
      <c r="I7" s="16" t="s">
        <v>205</v>
      </c>
      <c r="J7" s="16"/>
      <c r="K7" s="16"/>
      <c r="L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16"/>
      <c r="G8" s="4" t="s">
        <v>207</v>
      </c>
      <c r="H8" s="4"/>
      <c r="I8" s="16"/>
      <c r="J8" s="16"/>
      <c r="K8" s="16"/>
      <c r="L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16"/>
      <c r="G9" s="4" t="s">
        <v>209</v>
      </c>
      <c r="H9" s="4"/>
      <c r="I9" s="16"/>
      <c r="J9" s="16"/>
      <c r="K9" s="16"/>
      <c r="L9" s="16"/>
    </row>
    <row r="10" customFormat="false" ht="25.5" hidden="false" customHeight="true" outlineLevel="0" collapsed="false">
      <c r="A10" s="17" t="s">
        <v>581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18" t="s">
        <v>225</v>
      </c>
    </row>
    <row r="12" customFormat="false" ht="42" hidden="false" customHeight="true" outlineLevel="0" collapsed="false">
      <c r="A12" s="18"/>
      <c r="B12" s="18"/>
      <c r="C12" s="18"/>
      <c r="D12" s="18"/>
      <c r="E12" s="19" t="s">
        <v>582</v>
      </c>
      <c r="F12" s="19" t="s">
        <v>583</v>
      </c>
      <c r="G12" s="19" t="s">
        <v>584</v>
      </c>
      <c r="H12" s="19" t="s">
        <v>585</v>
      </c>
      <c r="I12" s="19" t="s">
        <v>586</v>
      </c>
      <c r="J12" s="19" t="s">
        <v>587</v>
      </c>
      <c r="K12" s="19" t="s">
        <v>411</v>
      </c>
      <c r="L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236</v>
      </c>
      <c r="H13" s="20" t="s">
        <v>236</v>
      </c>
      <c r="I13" s="20" t="s">
        <v>468</v>
      </c>
      <c r="J13" s="20" t="s">
        <v>588</v>
      </c>
      <c r="K13" s="20" t="s">
        <v>589</v>
      </c>
      <c r="L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9"/>
      <c r="K14" s="9"/>
      <c r="L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9"/>
      <c r="K15" s="9"/>
      <c r="L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9"/>
      <c r="K16" s="9"/>
      <c r="L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9"/>
      <c r="K17" s="9"/>
      <c r="L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9"/>
      <c r="K18" s="9"/>
      <c r="L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9"/>
      <c r="K19" s="9"/>
      <c r="L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9"/>
      <c r="K20" s="9"/>
      <c r="L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9"/>
      <c r="K21" s="9"/>
      <c r="L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9"/>
      <c r="K22" s="9"/>
      <c r="L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9"/>
      <c r="K23" s="9"/>
      <c r="L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9"/>
      <c r="K24" s="9"/>
      <c r="L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9"/>
      <c r="K25" s="9"/>
      <c r="L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9"/>
      <c r="K26" s="9"/>
      <c r="L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9"/>
      <c r="K27" s="9"/>
      <c r="L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9"/>
      <c r="K28" s="9"/>
      <c r="L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9"/>
      <c r="K29" s="9"/>
      <c r="L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9"/>
      <c r="K30" s="9"/>
      <c r="L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9"/>
      <c r="K31" s="9"/>
      <c r="L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9"/>
      <c r="K32" s="9"/>
      <c r="L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9"/>
      <c r="K33" s="9"/>
      <c r="L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9"/>
      <c r="K34" s="9"/>
      <c r="L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9"/>
      <c r="K35" s="9"/>
      <c r="L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9"/>
      <c r="K36" s="9"/>
      <c r="L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9"/>
      <c r="K37" s="9"/>
      <c r="L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9"/>
      <c r="K38" s="9"/>
      <c r="L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  <c r="K39" s="21"/>
      <c r="L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8" t="n">
        <f aca="false">COUNTIF(J14:J38,"√")</f>
        <v>0</v>
      </c>
      <c r="K40" s="8" t="n">
        <f aca="false">COUNTIF(K14:K38,"√")</f>
        <v>0</v>
      </c>
      <c r="L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9" customFormat="false" ht="15" hidden="false" customHeight="true" outlineLevel="0" collapsed="false">
      <c r="A49" s="4" t="s">
        <v>590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true" outlineLevel="0" collapsed="false">
      <c r="A50" s="24" t="s">
        <v>591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customFormat="false" ht="15" hidden="false" customHeight="true" outlineLevel="0" collapsed="false">
      <c r="A51" s="24" t="s">
        <v>592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customFormat="false" ht="15" hidden="false" customHeight="true" outlineLevel="0" collapsed="false">
      <c r="A52" s="24" t="s">
        <v>593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customFormat="false" ht="15" hidden="false" customHeight="true" outlineLevel="0" collapsed="false">
      <c r="A53" s="24" t="s">
        <v>594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5" customFormat="false" ht="15" hidden="false" customHeight="true" outlineLevel="0" collapsed="false">
      <c r="A55" s="18" t="s">
        <v>249</v>
      </c>
      <c r="B55" s="18"/>
      <c r="C55" s="18"/>
      <c r="D55" s="18"/>
      <c r="E55" s="18" t="s">
        <v>250</v>
      </c>
      <c r="F55" s="18"/>
      <c r="G55" s="18"/>
      <c r="H55" s="18"/>
      <c r="I55" s="18" t="s">
        <v>251</v>
      </c>
      <c r="J55" s="18"/>
      <c r="K55" s="18"/>
      <c r="L55" s="18"/>
    </row>
    <row r="56" customFormat="false" ht="21.75" hidden="false" customHeight="true" outlineLevel="0" collapsed="false">
      <c r="A56" s="5" t="s">
        <v>252</v>
      </c>
      <c r="B56" s="5"/>
      <c r="C56" s="5"/>
      <c r="D56" s="5"/>
      <c r="E56" s="5" t="s">
        <v>252</v>
      </c>
      <c r="F56" s="5"/>
      <c r="G56" s="5"/>
      <c r="H56" s="5"/>
      <c r="I56" s="5" t="s">
        <v>252</v>
      </c>
      <c r="J56" s="5"/>
      <c r="K56" s="5"/>
      <c r="L56" s="5"/>
    </row>
    <row r="57" customFormat="false" ht="21.75" hidden="false" customHeight="true" outlineLevel="0" collapsed="false">
      <c r="A57" s="5" t="s">
        <v>253</v>
      </c>
      <c r="B57" s="5"/>
      <c r="C57" s="5"/>
      <c r="D57" s="5"/>
      <c r="E57" s="5" t="s">
        <v>253</v>
      </c>
      <c r="F57" s="5"/>
      <c r="G57" s="5"/>
      <c r="H57" s="5"/>
      <c r="I57" s="5" t="s">
        <v>253</v>
      </c>
      <c r="J57" s="5"/>
      <c r="K57" s="5"/>
      <c r="L57" s="5"/>
    </row>
    <row r="58" customFormat="false" ht="21.75" hidden="false" customHeight="true" outlineLevel="0" collapsed="false">
      <c r="A58" s="5" t="s">
        <v>254</v>
      </c>
      <c r="B58" s="5"/>
      <c r="C58" s="5"/>
      <c r="D58" s="5"/>
      <c r="E58" s="5" t="s">
        <v>254</v>
      </c>
      <c r="F58" s="5"/>
      <c r="G58" s="5"/>
      <c r="H58" s="5"/>
      <c r="I58" s="5" t="s">
        <v>254</v>
      </c>
      <c r="J58" s="5"/>
      <c r="K58" s="5"/>
      <c r="L58" s="5"/>
    </row>
    <row r="59" customFormat="false" ht="25.5" hidden="false" customHeight="true" outlineLevel="0" collapsed="false">
      <c r="A59" s="25" t="s">
        <v>255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</sheetData>
  <mergeCells count="58">
    <mergeCell ref="A1:L1"/>
    <mergeCell ref="A2:L2"/>
    <mergeCell ref="A3:B3"/>
    <mergeCell ref="C3:D3"/>
    <mergeCell ref="E3:F3"/>
    <mergeCell ref="G3:H3"/>
    <mergeCell ref="I3:L3"/>
    <mergeCell ref="A4:B4"/>
    <mergeCell ref="C4:D4"/>
    <mergeCell ref="E4:F4"/>
    <mergeCell ref="G4:H4"/>
    <mergeCell ref="I4:L4"/>
    <mergeCell ref="A5:L5"/>
    <mergeCell ref="A6:C6"/>
    <mergeCell ref="D6:L6"/>
    <mergeCell ref="A7:C7"/>
    <mergeCell ref="D7:F7"/>
    <mergeCell ref="G7:H7"/>
    <mergeCell ref="I7:L7"/>
    <mergeCell ref="A8:C8"/>
    <mergeCell ref="D8:F8"/>
    <mergeCell ref="G8:H8"/>
    <mergeCell ref="I8:L8"/>
    <mergeCell ref="A9:C9"/>
    <mergeCell ref="D9:F9"/>
    <mergeCell ref="G9:H9"/>
    <mergeCell ref="I9:L9"/>
    <mergeCell ref="A10:L10"/>
    <mergeCell ref="A11:A13"/>
    <mergeCell ref="B11:B13"/>
    <mergeCell ref="C11:C13"/>
    <mergeCell ref="D11:D13"/>
    <mergeCell ref="L11:L13"/>
    <mergeCell ref="A39:D39"/>
    <mergeCell ref="E39:L39"/>
    <mergeCell ref="A40:D40"/>
    <mergeCell ref="A41:D41"/>
    <mergeCell ref="A42:D42"/>
    <mergeCell ref="A44:L44"/>
    <mergeCell ref="A45:L47"/>
    <mergeCell ref="A49:L49"/>
    <mergeCell ref="A50:L50"/>
    <mergeCell ref="A51:L51"/>
    <mergeCell ref="A52:L52"/>
    <mergeCell ref="A53:L53"/>
    <mergeCell ref="A55:D55"/>
    <mergeCell ref="E55:H55"/>
    <mergeCell ref="I55:L55"/>
    <mergeCell ref="A56:D56"/>
    <mergeCell ref="E56:H56"/>
    <mergeCell ref="I56:L56"/>
    <mergeCell ref="A57:D57"/>
    <mergeCell ref="E57:H57"/>
    <mergeCell ref="I57:L57"/>
    <mergeCell ref="A58:D58"/>
    <mergeCell ref="E58:H58"/>
    <mergeCell ref="I58:L58"/>
    <mergeCell ref="A59:L59"/>
  </mergeCells>
  <conditionalFormatting sqref="E14:K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K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IFSPL/M/CL/023  |  Rev 00  |  Ref: IFSPL/M/SOP/023&amp;C&amp;8 Indus Fire Safety Private Limited – Control Copy&amp;R&amp;8 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9" min="5" style="0" width="17"/>
    <col collapsed="false" customWidth="true" hidden="false" outlineLevel="0" max="10" min="10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  <c r="J3" s="15"/>
    </row>
    <row r="4" customFormat="false" ht="18" hidden="false" customHeight="true" outlineLevel="0" collapsed="false">
      <c r="A4" s="8" t="s">
        <v>124</v>
      </c>
      <c r="B4" s="8"/>
      <c r="C4" s="8" t="s">
        <v>125</v>
      </c>
      <c r="D4" s="8"/>
      <c r="E4" s="8" t="s">
        <v>6</v>
      </c>
      <c r="F4" s="8"/>
      <c r="G4" s="8" t="s">
        <v>199</v>
      </c>
      <c r="H4" s="8"/>
      <c r="I4" s="8" t="s">
        <v>200</v>
      </c>
      <c r="J4" s="8"/>
    </row>
    <row r="5" customFormat="false" ht="24" hidden="false" customHeight="true" outlineLevel="0" collapsed="false">
      <c r="A5" s="3" t="s">
        <v>595</v>
      </c>
      <c r="B5" s="3"/>
      <c r="C5" s="3"/>
      <c r="D5" s="3"/>
      <c r="E5" s="3"/>
      <c r="F5" s="3"/>
      <c r="G5" s="3"/>
      <c r="H5" s="3"/>
      <c r="I5" s="3"/>
      <c r="J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  <c r="J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16"/>
      <c r="F7" s="4" t="s">
        <v>204</v>
      </c>
      <c r="G7" s="4"/>
      <c r="H7" s="16" t="s">
        <v>205</v>
      </c>
      <c r="I7" s="16"/>
      <c r="J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16"/>
      <c r="F8" s="4" t="s">
        <v>207</v>
      </c>
      <c r="G8" s="4"/>
      <c r="H8" s="16"/>
      <c r="I8" s="16"/>
      <c r="J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16"/>
      <c r="F9" s="4" t="s">
        <v>209</v>
      </c>
      <c r="G9" s="4"/>
      <c r="H9" s="16"/>
      <c r="I9" s="16"/>
      <c r="J9" s="16"/>
    </row>
    <row r="10" customFormat="false" ht="25.5" hidden="false" customHeight="true" outlineLevel="0" collapsed="false">
      <c r="A10" s="17" t="s">
        <v>596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18" t="s">
        <v>225</v>
      </c>
    </row>
    <row r="12" customFormat="false" ht="42" hidden="false" customHeight="true" outlineLevel="0" collapsed="false">
      <c r="A12" s="18"/>
      <c r="B12" s="18"/>
      <c r="C12" s="18"/>
      <c r="D12" s="18"/>
      <c r="E12" s="19" t="s">
        <v>597</v>
      </c>
      <c r="F12" s="19" t="s">
        <v>598</v>
      </c>
      <c r="G12" s="19" t="s">
        <v>599</v>
      </c>
      <c r="H12" s="19" t="s">
        <v>600</v>
      </c>
      <c r="I12" s="19" t="s">
        <v>601</v>
      </c>
      <c r="J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602</v>
      </c>
      <c r="F13" s="20" t="s">
        <v>602</v>
      </c>
      <c r="G13" s="20" t="s">
        <v>602</v>
      </c>
      <c r="H13" s="20" t="s">
        <v>603</v>
      </c>
      <c r="I13" s="20" t="s">
        <v>603</v>
      </c>
      <c r="J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9"/>
      <c r="J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9"/>
      <c r="J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9"/>
      <c r="J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9"/>
      <c r="J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9"/>
      <c r="J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9"/>
      <c r="J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9"/>
      <c r="J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9"/>
      <c r="J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9"/>
      <c r="J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9"/>
      <c r="J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9"/>
      <c r="J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9"/>
      <c r="J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9"/>
      <c r="J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9"/>
      <c r="J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9"/>
      <c r="J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9"/>
      <c r="J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9"/>
      <c r="J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9"/>
      <c r="J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9"/>
      <c r="J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9"/>
      <c r="J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9"/>
      <c r="J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9"/>
      <c r="J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9"/>
      <c r="J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9"/>
      <c r="J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9"/>
      <c r="J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  <c r="J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8" t="n">
        <f aca="false">COUNTIF(I14:I38,"√")</f>
        <v>0</v>
      </c>
      <c r="J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9" customFormat="false" ht="15" hidden="false" customHeight="true" outlineLevel="0" collapsed="false">
      <c r="A49" s="4" t="s">
        <v>604</v>
      </c>
      <c r="B49" s="4"/>
      <c r="C49" s="4"/>
      <c r="D49" s="4"/>
      <c r="E49" s="4"/>
      <c r="F49" s="4"/>
      <c r="G49" s="4"/>
      <c r="H49" s="4"/>
      <c r="I49" s="4"/>
      <c r="J49" s="4"/>
    </row>
    <row r="50" customFormat="false" ht="15" hidden="false" customHeight="true" outlineLevel="0" collapsed="false">
      <c r="A50" s="24" t="s">
        <v>605</v>
      </c>
      <c r="B50" s="24"/>
      <c r="C50" s="24"/>
      <c r="D50" s="24"/>
      <c r="E50" s="24"/>
      <c r="F50" s="24"/>
      <c r="G50" s="24"/>
      <c r="H50" s="24"/>
      <c r="I50" s="24"/>
      <c r="J50" s="24"/>
    </row>
    <row r="51" customFormat="false" ht="15" hidden="false" customHeight="true" outlineLevel="0" collapsed="false">
      <c r="A51" s="24" t="s">
        <v>606</v>
      </c>
      <c r="B51" s="24"/>
      <c r="C51" s="24"/>
      <c r="D51" s="24"/>
      <c r="E51" s="24"/>
      <c r="F51" s="24"/>
      <c r="G51" s="24"/>
      <c r="H51" s="24"/>
      <c r="I51" s="24"/>
      <c r="J51" s="24"/>
    </row>
    <row r="52" customFormat="false" ht="15" hidden="false" customHeight="true" outlineLevel="0" collapsed="false">
      <c r="A52" s="24" t="s">
        <v>607</v>
      </c>
      <c r="B52" s="24"/>
      <c r="C52" s="24"/>
      <c r="D52" s="24"/>
      <c r="E52" s="24"/>
      <c r="F52" s="24"/>
      <c r="G52" s="24"/>
      <c r="H52" s="24"/>
      <c r="I52" s="24"/>
      <c r="J52" s="24"/>
    </row>
    <row r="53" customFormat="false" ht="15" hidden="false" customHeight="true" outlineLevel="0" collapsed="false">
      <c r="A53" s="24" t="s">
        <v>608</v>
      </c>
      <c r="B53" s="24"/>
      <c r="C53" s="24"/>
      <c r="D53" s="24"/>
      <c r="E53" s="24"/>
      <c r="F53" s="24"/>
      <c r="G53" s="24"/>
      <c r="H53" s="24"/>
      <c r="I53" s="24"/>
      <c r="J53" s="24"/>
    </row>
    <row r="55" customFormat="false" ht="15" hidden="false" customHeight="true" outlineLevel="0" collapsed="false">
      <c r="A55" s="18" t="s">
        <v>249</v>
      </c>
      <c r="B55" s="18"/>
      <c r="C55" s="18"/>
      <c r="D55" s="18" t="s">
        <v>250</v>
      </c>
      <c r="E55" s="18"/>
      <c r="F55" s="18"/>
      <c r="G55" s="18" t="s">
        <v>251</v>
      </c>
      <c r="H55" s="18"/>
      <c r="I55" s="18"/>
      <c r="J55" s="18"/>
    </row>
    <row r="56" customFormat="false" ht="21.75" hidden="false" customHeight="true" outlineLevel="0" collapsed="false">
      <c r="A56" s="5" t="s">
        <v>252</v>
      </c>
      <c r="B56" s="5"/>
      <c r="C56" s="5"/>
      <c r="D56" s="5" t="s">
        <v>252</v>
      </c>
      <c r="E56" s="5"/>
      <c r="F56" s="5"/>
      <c r="G56" s="5" t="s">
        <v>252</v>
      </c>
      <c r="H56" s="5"/>
      <c r="I56" s="5"/>
      <c r="J56" s="5"/>
    </row>
    <row r="57" customFormat="false" ht="21.75" hidden="false" customHeight="true" outlineLevel="0" collapsed="false">
      <c r="A57" s="5" t="s">
        <v>253</v>
      </c>
      <c r="B57" s="5"/>
      <c r="C57" s="5"/>
      <c r="D57" s="5" t="s">
        <v>253</v>
      </c>
      <c r="E57" s="5"/>
      <c r="F57" s="5"/>
      <c r="G57" s="5" t="s">
        <v>253</v>
      </c>
      <c r="H57" s="5"/>
      <c r="I57" s="5"/>
      <c r="J57" s="5"/>
    </row>
    <row r="58" customFormat="false" ht="21.75" hidden="false" customHeight="true" outlineLevel="0" collapsed="false">
      <c r="A58" s="5" t="s">
        <v>254</v>
      </c>
      <c r="B58" s="5"/>
      <c r="C58" s="5"/>
      <c r="D58" s="5" t="s">
        <v>254</v>
      </c>
      <c r="E58" s="5"/>
      <c r="F58" s="5"/>
      <c r="G58" s="5" t="s">
        <v>254</v>
      </c>
      <c r="H58" s="5"/>
      <c r="I58" s="5"/>
      <c r="J58" s="5"/>
    </row>
    <row r="59" customFormat="false" ht="25.5" hidden="false" customHeight="true" outlineLevel="0" collapsed="false">
      <c r="A59" s="25" t="s">
        <v>255</v>
      </c>
      <c r="B59" s="25"/>
      <c r="C59" s="25"/>
      <c r="D59" s="25"/>
      <c r="E59" s="25"/>
      <c r="F59" s="25"/>
      <c r="G59" s="25"/>
      <c r="H59" s="25"/>
      <c r="I59" s="25"/>
      <c r="J59" s="25"/>
    </row>
  </sheetData>
  <mergeCells count="58">
    <mergeCell ref="A1:J1"/>
    <mergeCell ref="A2:J2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5:J5"/>
    <mergeCell ref="A6:C6"/>
    <mergeCell ref="D6:J6"/>
    <mergeCell ref="A7:C7"/>
    <mergeCell ref="D7:E7"/>
    <mergeCell ref="F7:G7"/>
    <mergeCell ref="H7:J7"/>
    <mergeCell ref="A8:C8"/>
    <mergeCell ref="D8:E8"/>
    <mergeCell ref="F8:G8"/>
    <mergeCell ref="H8:J8"/>
    <mergeCell ref="A9:C9"/>
    <mergeCell ref="D9:E9"/>
    <mergeCell ref="F9:G9"/>
    <mergeCell ref="H9:J9"/>
    <mergeCell ref="A10:J10"/>
    <mergeCell ref="A11:A13"/>
    <mergeCell ref="B11:B13"/>
    <mergeCell ref="C11:C13"/>
    <mergeCell ref="D11:D13"/>
    <mergeCell ref="J11:J13"/>
    <mergeCell ref="A39:D39"/>
    <mergeCell ref="E39:J39"/>
    <mergeCell ref="A40:D40"/>
    <mergeCell ref="A41:D41"/>
    <mergeCell ref="A42:D42"/>
    <mergeCell ref="A44:J44"/>
    <mergeCell ref="A45:J47"/>
    <mergeCell ref="A49:J49"/>
    <mergeCell ref="A50:J50"/>
    <mergeCell ref="A51:J51"/>
    <mergeCell ref="A52:J52"/>
    <mergeCell ref="A53:J53"/>
    <mergeCell ref="A55:C55"/>
    <mergeCell ref="D55:F55"/>
    <mergeCell ref="G55:J55"/>
    <mergeCell ref="A56:C56"/>
    <mergeCell ref="D56:F56"/>
    <mergeCell ref="G56:J56"/>
    <mergeCell ref="A57:C57"/>
    <mergeCell ref="D57:F57"/>
    <mergeCell ref="G57:J57"/>
    <mergeCell ref="A58:C58"/>
    <mergeCell ref="D58:F58"/>
    <mergeCell ref="G58:J58"/>
    <mergeCell ref="A59:J59"/>
  </mergeCells>
  <conditionalFormatting sqref="E14:I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I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IFSPL/M/CL/024  |  Rev 00  |  Ref: IFSPL/M/SOP/024&amp;C&amp;8 Indus Fire Safety Private Limited – Control Copy&amp;R&amp;8 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8" min="5" style="0" width="17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</row>
    <row r="4" customFormat="false" ht="18" hidden="false" customHeight="true" outlineLevel="0" collapsed="false">
      <c r="A4" s="8" t="s">
        <v>128</v>
      </c>
      <c r="B4" s="8"/>
      <c r="C4" s="8" t="s">
        <v>129</v>
      </c>
      <c r="D4" s="8"/>
      <c r="E4" s="8" t="s">
        <v>6</v>
      </c>
      <c r="F4" s="8"/>
      <c r="G4" s="8" t="s">
        <v>199</v>
      </c>
      <c r="H4" s="8"/>
      <c r="I4" s="8" t="s">
        <v>200</v>
      </c>
    </row>
    <row r="5" customFormat="false" ht="24" hidden="false" customHeight="true" outlineLevel="0" collapsed="false">
      <c r="A5" s="3" t="s">
        <v>609</v>
      </c>
      <c r="B5" s="3"/>
      <c r="C5" s="3"/>
      <c r="D5" s="3"/>
      <c r="E5" s="3"/>
      <c r="F5" s="3"/>
      <c r="G5" s="3"/>
      <c r="H5" s="3"/>
      <c r="I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4" t="s">
        <v>204</v>
      </c>
      <c r="F7" s="4"/>
      <c r="G7" s="16" t="s">
        <v>205</v>
      </c>
      <c r="H7" s="16"/>
      <c r="I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4" t="s">
        <v>207</v>
      </c>
      <c r="F8" s="4"/>
      <c r="G8" s="16"/>
      <c r="H8" s="16"/>
      <c r="I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4" t="s">
        <v>209</v>
      </c>
      <c r="F9" s="4"/>
      <c r="G9" s="16"/>
      <c r="H9" s="16"/>
      <c r="I9" s="16"/>
    </row>
    <row r="10" customFormat="false" ht="25.5" hidden="false" customHeight="true" outlineLevel="0" collapsed="false">
      <c r="A10" s="17" t="s">
        <v>610</v>
      </c>
      <c r="B10" s="17"/>
      <c r="C10" s="17"/>
      <c r="D10" s="17"/>
      <c r="E10" s="17"/>
      <c r="F10" s="17"/>
      <c r="G10" s="17"/>
      <c r="H10" s="17"/>
      <c r="I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18" t="s">
        <v>225</v>
      </c>
    </row>
    <row r="12" customFormat="false" ht="42" hidden="false" customHeight="true" outlineLevel="0" collapsed="false">
      <c r="A12" s="18"/>
      <c r="B12" s="18"/>
      <c r="C12" s="18"/>
      <c r="D12" s="18"/>
      <c r="E12" s="19" t="s">
        <v>611</v>
      </c>
      <c r="F12" s="19" t="s">
        <v>612</v>
      </c>
      <c r="G12" s="19" t="s">
        <v>613</v>
      </c>
      <c r="H12" s="19" t="s">
        <v>614</v>
      </c>
      <c r="I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615</v>
      </c>
      <c r="F13" s="20" t="s">
        <v>615</v>
      </c>
      <c r="G13" s="20" t="s">
        <v>615</v>
      </c>
      <c r="H13" s="20" t="s">
        <v>616</v>
      </c>
      <c r="I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</row>
    <row r="49" customFormat="false" ht="15" hidden="false" customHeight="true" outlineLevel="0" collapsed="false">
      <c r="A49" s="4" t="s">
        <v>617</v>
      </c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A50" s="24" t="s">
        <v>618</v>
      </c>
      <c r="B50" s="24"/>
      <c r="C50" s="24"/>
      <c r="D50" s="24"/>
      <c r="E50" s="24"/>
      <c r="F50" s="24"/>
      <c r="G50" s="24"/>
      <c r="H50" s="24"/>
      <c r="I50" s="24"/>
    </row>
    <row r="51" customFormat="false" ht="15" hidden="false" customHeight="true" outlineLevel="0" collapsed="false">
      <c r="A51" s="24" t="s">
        <v>619</v>
      </c>
      <c r="B51" s="24"/>
      <c r="C51" s="24"/>
      <c r="D51" s="24"/>
      <c r="E51" s="24"/>
      <c r="F51" s="24"/>
      <c r="G51" s="24"/>
      <c r="H51" s="24"/>
      <c r="I51" s="24"/>
    </row>
    <row r="52" customFormat="false" ht="15" hidden="false" customHeight="true" outlineLevel="0" collapsed="false">
      <c r="A52" s="24" t="s">
        <v>620</v>
      </c>
      <c r="B52" s="24"/>
      <c r="C52" s="24"/>
      <c r="D52" s="24"/>
      <c r="E52" s="24"/>
      <c r="F52" s="24"/>
      <c r="G52" s="24"/>
      <c r="H52" s="24"/>
      <c r="I52" s="24"/>
    </row>
    <row r="54" customFormat="false" ht="15" hidden="false" customHeight="true" outlineLevel="0" collapsed="false">
      <c r="A54" s="18" t="s">
        <v>249</v>
      </c>
      <c r="B54" s="18"/>
      <c r="C54" s="18"/>
      <c r="D54" s="18" t="s">
        <v>250</v>
      </c>
      <c r="E54" s="18"/>
      <c r="F54" s="18"/>
      <c r="G54" s="18" t="s">
        <v>251</v>
      </c>
      <c r="H54" s="18"/>
      <c r="I54" s="18"/>
    </row>
    <row r="55" customFormat="false" ht="21.75" hidden="false" customHeight="true" outlineLevel="0" collapsed="false">
      <c r="A55" s="5" t="s">
        <v>252</v>
      </c>
      <c r="B55" s="5"/>
      <c r="C55" s="5"/>
      <c r="D55" s="5" t="s">
        <v>252</v>
      </c>
      <c r="E55" s="5"/>
      <c r="F55" s="5"/>
      <c r="G55" s="5" t="s">
        <v>252</v>
      </c>
      <c r="H55" s="5"/>
      <c r="I55" s="5"/>
    </row>
    <row r="56" customFormat="false" ht="21.75" hidden="false" customHeight="true" outlineLevel="0" collapsed="false">
      <c r="A56" s="5" t="s">
        <v>253</v>
      </c>
      <c r="B56" s="5"/>
      <c r="C56" s="5"/>
      <c r="D56" s="5" t="s">
        <v>253</v>
      </c>
      <c r="E56" s="5"/>
      <c r="F56" s="5"/>
      <c r="G56" s="5" t="s">
        <v>253</v>
      </c>
      <c r="H56" s="5"/>
      <c r="I56" s="5"/>
    </row>
    <row r="57" customFormat="false" ht="21.75" hidden="false" customHeight="true" outlineLevel="0" collapsed="false">
      <c r="A57" s="5" t="s">
        <v>254</v>
      </c>
      <c r="B57" s="5"/>
      <c r="C57" s="5"/>
      <c r="D57" s="5" t="s">
        <v>254</v>
      </c>
      <c r="E57" s="5"/>
      <c r="F57" s="5"/>
      <c r="G57" s="5" t="s">
        <v>254</v>
      </c>
      <c r="H57" s="5"/>
      <c r="I57" s="5"/>
    </row>
    <row r="58" customFormat="false" ht="25.5" hidden="false" customHeight="true" outlineLevel="0" collapsed="false">
      <c r="A58" s="25" t="s">
        <v>255</v>
      </c>
      <c r="B58" s="25"/>
      <c r="C58" s="25"/>
      <c r="D58" s="25"/>
      <c r="E58" s="25"/>
      <c r="F58" s="25"/>
      <c r="G58" s="25"/>
      <c r="H58" s="25"/>
      <c r="I58" s="25"/>
    </row>
  </sheetData>
  <mergeCells count="52">
    <mergeCell ref="A1:I1"/>
    <mergeCell ref="A2:I2"/>
    <mergeCell ref="A3:B3"/>
    <mergeCell ref="C3:D3"/>
    <mergeCell ref="E3:F3"/>
    <mergeCell ref="G3:H3"/>
    <mergeCell ref="A4:B4"/>
    <mergeCell ref="C4:D4"/>
    <mergeCell ref="E4:F4"/>
    <mergeCell ref="G4:H4"/>
    <mergeCell ref="A5:I5"/>
    <mergeCell ref="A6:C6"/>
    <mergeCell ref="D6:I6"/>
    <mergeCell ref="A7:C7"/>
    <mergeCell ref="E7:F7"/>
    <mergeCell ref="G7:I7"/>
    <mergeCell ref="A8:C8"/>
    <mergeCell ref="E8:F8"/>
    <mergeCell ref="G8:I8"/>
    <mergeCell ref="A9:C9"/>
    <mergeCell ref="E9:F9"/>
    <mergeCell ref="G9:I9"/>
    <mergeCell ref="A10:I10"/>
    <mergeCell ref="A11:A13"/>
    <mergeCell ref="B11:B13"/>
    <mergeCell ref="C11:C13"/>
    <mergeCell ref="D11:D13"/>
    <mergeCell ref="I11:I13"/>
    <mergeCell ref="A39:D39"/>
    <mergeCell ref="E39:I39"/>
    <mergeCell ref="A40:D40"/>
    <mergeCell ref="A41:D41"/>
    <mergeCell ref="A42:D42"/>
    <mergeCell ref="A44:I44"/>
    <mergeCell ref="A45:I47"/>
    <mergeCell ref="A49:I49"/>
    <mergeCell ref="A50:I50"/>
    <mergeCell ref="A51:I51"/>
    <mergeCell ref="A52:I52"/>
    <mergeCell ref="A54:C54"/>
    <mergeCell ref="D54:F54"/>
    <mergeCell ref="G54:I54"/>
    <mergeCell ref="A55:C55"/>
    <mergeCell ref="D55:F55"/>
    <mergeCell ref="G55:I55"/>
    <mergeCell ref="A56:C56"/>
    <mergeCell ref="D56:F56"/>
    <mergeCell ref="G56:I56"/>
    <mergeCell ref="A57:C57"/>
    <mergeCell ref="D57:F57"/>
    <mergeCell ref="G57:I57"/>
    <mergeCell ref="A58:I58"/>
  </mergeCells>
  <conditionalFormatting sqref="E14:H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H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IFSPL/M/CL/025  |  Rev 00  |  Ref: IFSPL/M/SOP/025&amp;C&amp;8 Indus Fire Safety Private Limited – Control Copy&amp;R&amp;8 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tru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8" min="5" style="0" width="17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3.5" hidden="false" customHeight="true" outlineLevel="0" collapsed="false">
      <c r="A3" s="15" t="s">
        <v>17</v>
      </c>
      <c r="B3" s="15"/>
      <c r="C3" s="15" t="s">
        <v>197</v>
      </c>
      <c r="D3" s="15"/>
      <c r="E3" s="15" t="s">
        <v>5</v>
      </c>
      <c r="F3" s="15"/>
      <c r="G3" s="15" t="s">
        <v>7</v>
      </c>
      <c r="H3" s="15"/>
      <c r="I3" s="15" t="s">
        <v>198</v>
      </c>
    </row>
    <row r="4" customFormat="false" ht="18" hidden="false" customHeight="true" outlineLevel="0" collapsed="false">
      <c r="A4" s="8" t="s">
        <v>132</v>
      </c>
      <c r="B4" s="8"/>
      <c r="C4" s="8" t="s">
        <v>133</v>
      </c>
      <c r="D4" s="8"/>
      <c r="E4" s="8" t="s">
        <v>6</v>
      </c>
      <c r="F4" s="8"/>
      <c r="G4" s="8" t="s">
        <v>199</v>
      </c>
      <c r="H4" s="8"/>
      <c r="I4" s="8" t="s">
        <v>200</v>
      </c>
    </row>
    <row r="5" customFormat="false" ht="24" hidden="false" customHeight="true" outlineLevel="0" collapsed="false">
      <c r="A5" s="3" t="s">
        <v>621</v>
      </c>
      <c r="B5" s="3"/>
      <c r="C5" s="3"/>
      <c r="D5" s="3"/>
      <c r="E5" s="3"/>
      <c r="F5" s="3"/>
      <c r="G5" s="3"/>
      <c r="H5" s="3"/>
      <c r="I5" s="3"/>
    </row>
    <row r="6" customFormat="false" ht="18" hidden="false" customHeight="true" outlineLevel="0" collapsed="false">
      <c r="A6" s="4" t="s">
        <v>202</v>
      </c>
      <c r="B6" s="4"/>
      <c r="C6" s="4"/>
      <c r="D6" s="16"/>
      <c r="E6" s="16"/>
      <c r="F6" s="16"/>
      <c r="G6" s="16"/>
      <c r="H6" s="16"/>
      <c r="I6" s="16"/>
    </row>
    <row r="7" customFormat="false" ht="30" hidden="false" customHeight="true" outlineLevel="0" collapsed="false">
      <c r="A7" s="4" t="s">
        <v>203</v>
      </c>
      <c r="B7" s="4"/>
      <c r="C7" s="4"/>
      <c r="D7" s="16"/>
      <c r="E7" s="4" t="s">
        <v>204</v>
      </c>
      <c r="F7" s="4"/>
      <c r="G7" s="16" t="s">
        <v>205</v>
      </c>
      <c r="H7" s="16"/>
      <c r="I7" s="16"/>
    </row>
    <row r="8" customFormat="false" ht="18" hidden="false" customHeight="true" outlineLevel="0" collapsed="false">
      <c r="A8" s="4" t="s">
        <v>206</v>
      </c>
      <c r="B8" s="4"/>
      <c r="C8" s="4"/>
      <c r="D8" s="16"/>
      <c r="E8" s="4" t="s">
        <v>207</v>
      </c>
      <c r="F8" s="4"/>
      <c r="G8" s="16"/>
      <c r="H8" s="16"/>
      <c r="I8" s="16"/>
    </row>
    <row r="9" customFormat="false" ht="18" hidden="false" customHeight="true" outlineLevel="0" collapsed="false">
      <c r="A9" s="4" t="s">
        <v>208</v>
      </c>
      <c r="B9" s="4"/>
      <c r="C9" s="4"/>
      <c r="D9" s="16"/>
      <c r="E9" s="4" t="s">
        <v>209</v>
      </c>
      <c r="F9" s="4"/>
      <c r="G9" s="16"/>
      <c r="H9" s="16"/>
      <c r="I9" s="16"/>
    </row>
    <row r="10" customFormat="false" ht="25.5" hidden="false" customHeight="true" outlineLevel="0" collapsed="false">
      <c r="A10" s="17" t="s">
        <v>622</v>
      </c>
      <c r="B10" s="17"/>
      <c r="C10" s="17"/>
      <c r="D10" s="17"/>
      <c r="E10" s="17"/>
      <c r="F10" s="17"/>
      <c r="G10" s="17"/>
      <c r="H10" s="17"/>
      <c r="I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18" t="s">
        <v>225</v>
      </c>
    </row>
    <row r="12" customFormat="false" ht="54" hidden="false" customHeight="true" outlineLevel="0" collapsed="false">
      <c r="A12" s="18"/>
      <c r="B12" s="18"/>
      <c r="C12" s="18"/>
      <c r="D12" s="18"/>
      <c r="E12" s="19" t="s">
        <v>623</v>
      </c>
      <c r="F12" s="19" t="s">
        <v>624</v>
      </c>
      <c r="G12" s="19" t="s">
        <v>625</v>
      </c>
      <c r="H12" s="19" t="s">
        <v>626</v>
      </c>
      <c r="I12" s="18"/>
    </row>
    <row r="13" customFormat="false" ht="24" hidden="false" customHeight="true" outlineLevel="0" collapsed="false">
      <c r="A13" s="18"/>
      <c r="B13" s="18"/>
      <c r="C13" s="18"/>
      <c r="D13" s="18"/>
      <c r="E13" s="20" t="s">
        <v>627</v>
      </c>
      <c r="F13" s="20" t="s">
        <v>627</v>
      </c>
      <c r="G13" s="20" t="s">
        <v>627</v>
      </c>
      <c r="H13" s="20" t="s">
        <v>627</v>
      </c>
      <c r="I13" s="18"/>
    </row>
    <row r="14" customFormat="false" ht="18.75" hidden="false" customHeight="true" outlineLevel="0" collapsed="false">
      <c r="A14" s="9" t="n">
        <v>1</v>
      </c>
      <c r="B14" s="5"/>
      <c r="C14" s="5"/>
      <c r="D14" s="5"/>
      <c r="E14" s="9"/>
      <c r="F14" s="9"/>
      <c r="G14" s="9"/>
      <c r="H14" s="9"/>
      <c r="I14" s="5"/>
    </row>
    <row r="15" customFormat="false" ht="18.75" hidden="false" customHeight="true" outlineLevel="0" collapsed="false">
      <c r="A15" s="9" t="n">
        <v>2</v>
      </c>
      <c r="B15" s="5"/>
      <c r="C15" s="5"/>
      <c r="D15" s="5"/>
      <c r="E15" s="9"/>
      <c r="F15" s="9"/>
      <c r="G15" s="9"/>
      <c r="H15" s="9"/>
      <c r="I15" s="5"/>
    </row>
    <row r="16" customFormat="false" ht="18.75" hidden="false" customHeight="true" outlineLevel="0" collapsed="false">
      <c r="A16" s="9" t="n">
        <v>3</v>
      </c>
      <c r="B16" s="5"/>
      <c r="C16" s="5"/>
      <c r="D16" s="5"/>
      <c r="E16" s="9"/>
      <c r="F16" s="9"/>
      <c r="G16" s="9"/>
      <c r="H16" s="9"/>
      <c r="I16" s="5"/>
    </row>
    <row r="17" customFormat="false" ht="18.75" hidden="false" customHeight="true" outlineLevel="0" collapsed="false">
      <c r="A17" s="9" t="n">
        <v>4</v>
      </c>
      <c r="B17" s="5"/>
      <c r="C17" s="5"/>
      <c r="D17" s="5"/>
      <c r="E17" s="9"/>
      <c r="F17" s="9"/>
      <c r="G17" s="9"/>
      <c r="H17" s="9"/>
      <c r="I17" s="5"/>
    </row>
    <row r="18" customFormat="false" ht="18.75" hidden="false" customHeight="true" outlineLevel="0" collapsed="false">
      <c r="A18" s="9" t="n">
        <v>5</v>
      </c>
      <c r="B18" s="5"/>
      <c r="C18" s="5"/>
      <c r="D18" s="5"/>
      <c r="E18" s="9"/>
      <c r="F18" s="9"/>
      <c r="G18" s="9"/>
      <c r="H18" s="9"/>
      <c r="I18" s="5"/>
    </row>
    <row r="19" customFormat="false" ht="18.75" hidden="false" customHeight="true" outlineLevel="0" collapsed="false">
      <c r="A19" s="9" t="n">
        <v>6</v>
      </c>
      <c r="B19" s="5"/>
      <c r="C19" s="5"/>
      <c r="D19" s="5"/>
      <c r="E19" s="9"/>
      <c r="F19" s="9"/>
      <c r="G19" s="9"/>
      <c r="H19" s="9"/>
      <c r="I19" s="5"/>
    </row>
    <row r="20" customFormat="false" ht="18.75" hidden="false" customHeight="true" outlineLevel="0" collapsed="false">
      <c r="A20" s="9" t="n">
        <v>7</v>
      </c>
      <c r="B20" s="5"/>
      <c r="C20" s="5"/>
      <c r="D20" s="5"/>
      <c r="E20" s="9"/>
      <c r="F20" s="9"/>
      <c r="G20" s="9"/>
      <c r="H20" s="9"/>
      <c r="I20" s="5"/>
    </row>
    <row r="21" customFormat="false" ht="18.75" hidden="false" customHeight="true" outlineLevel="0" collapsed="false">
      <c r="A21" s="9" t="n">
        <v>8</v>
      </c>
      <c r="B21" s="5"/>
      <c r="C21" s="5"/>
      <c r="D21" s="5"/>
      <c r="E21" s="9"/>
      <c r="F21" s="9"/>
      <c r="G21" s="9"/>
      <c r="H21" s="9"/>
      <c r="I21" s="5"/>
    </row>
    <row r="22" customFormat="false" ht="18.75" hidden="false" customHeight="true" outlineLevel="0" collapsed="false">
      <c r="A22" s="9" t="n">
        <v>9</v>
      </c>
      <c r="B22" s="5"/>
      <c r="C22" s="5"/>
      <c r="D22" s="5"/>
      <c r="E22" s="9"/>
      <c r="F22" s="9"/>
      <c r="G22" s="9"/>
      <c r="H22" s="9"/>
      <c r="I22" s="5"/>
    </row>
    <row r="23" customFormat="false" ht="18.75" hidden="false" customHeight="true" outlineLevel="0" collapsed="false">
      <c r="A23" s="9" t="n">
        <v>10</v>
      </c>
      <c r="B23" s="5"/>
      <c r="C23" s="5"/>
      <c r="D23" s="5"/>
      <c r="E23" s="9"/>
      <c r="F23" s="9"/>
      <c r="G23" s="9"/>
      <c r="H23" s="9"/>
      <c r="I23" s="5"/>
    </row>
    <row r="24" customFormat="false" ht="18.75" hidden="false" customHeight="true" outlineLevel="0" collapsed="false">
      <c r="A24" s="9" t="n">
        <v>11</v>
      </c>
      <c r="B24" s="5"/>
      <c r="C24" s="5"/>
      <c r="D24" s="5"/>
      <c r="E24" s="9"/>
      <c r="F24" s="9"/>
      <c r="G24" s="9"/>
      <c r="H24" s="9"/>
      <c r="I24" s="5"/>
    </row>
    <row r="25" customFormat="false" ht="18.75" hidden="false" customHeight="true" outlineLevel="0" collapsed="false">
      <c r="A25" s="9" t="n">
        <v>12</v>
      </c>
      <c r="B25" s="5"/>
      <c r="C25" s="5"/>
      <c r="D25" s="5"/>
      <c r="E25" s="9"/>
      <c r="F25" s="9"/>
      <c r="G25" s="9"/>
      <c r="H25" s="9"/>
      <c r="I25" s="5"/>
    </row>
    <row r="26" customFormat="false" ht="18.75" hidden="false" customHeight="true" outlineLevel="0" collapsed="false">
      <c r="A26" s="9" t="n">
        <v>13</v>
      </c>
      <c r="B26" s="5"/>
      <c r="C26" s="5"/>
      <c r="D26" s="5"/>
      <c r="E26" s="9"/>
      <c r="F26" s="9"/>
      <c r="G26" s="9"/>
      <c r="H26" s="9"/>
      <c r="I26" s="5"/>
    </row>
    <row r="27" customFormat="false" ht="18.75" hidden="false" customHeight="true" outlineLevel="0" collapsed="false">
      <c r="A27" s="9" t="n">
        <v>14</v>
      </c>
      <c r="B27" s="5"/>
      <c r="C27" s="5"/>
      <c r="D27" s="5"/>
      <c r="E27" s="9"/>
      <c r="F27" s="9"/>
      <c r="G27" s="9"/>
      <c r="H27" s="9"/>
      <c r="I27" s="5"/>
    </row>
    <row r="28" customFormat="false" ht="18.75" hidden="false" customHeight="true" outlineLevel="0" collapsed="false">
      <c r="A28" s="9" t="n">
        <v>15</v>
      </c>
      <c r="B28" s="5"/>
      <c r="C28" s="5"/>
      <c r="D28" s="5"/>
      <c r="E28" s="9"/>
      <c r="F28" s="9"/>
      <c r="G28" s="9"/>
      <c r="H28" s="9"/>
      <c r="I28" s="5"/>
    </row>
    <row r="29" customFormat="false" ht="18.75" hidden="false" customHeight="true" outlineLevel="0" collapsed="false">
      <c r="A29" s="9" t="n">
        <v>16</v>
      </c>
      <c r="B29" s="5"/>
      <c r="C29" s="5"/>
      <c r="D29" s="5"/>
      <c r="E29" s="9"/>
      <c r="F29" s="9"/>
      <c r="G29" s="9"/>
      <c r="H29" s="9"/>
      <c r="I29" s="5"/>
    </row>
    <row r="30" customFormat="false" ht="18.75" hidden="false" customHeight="true" outlineLevel="0" collapsed="false">
      <c r="A30" s="9" t="n">
        <v>17</v>
      </c>
      <c r="B30" s="5"/>
      <c r="C30" s="5"/>
      <c r="D30" s="5"/>
      <c r="E30" s="9"/>
      <c r="F30" s="9"/>
      <c r="G30" s="9"/>
      <c r="H30" s="9"/>
      <c r="I30" s="5"/>
    </row>
    <row r="31" customFormat="false" ht="18.75" hidden="false" customHeight="true" outlineLevel="0" collapsed="false">
      <c r="A31" s="9" t="n">
        <v>18</v>
      </c>
      <c r="B31" s="5"/>
      <c r="C31" s="5"/>
      <c r="D31" s="5"/>
      <c r="E31" s="9"/>
      <c r="F31" s="9"/>
      <c r="G31" s="9"/>
      <c r="H31" s="9"/>
      <c r="I31" s="5"/>
    </row>
    <row r="32" customFormat="false" ht="18.75" hidden="false" customHeight="true" outlineLevel="0" collapsed="false">
      <c r="A32" s="9" t="n">
        <v>19</v>
      </c>
      <c r="B32" s="5"/>
      <c r="C32" s="5"/>
      <c r="D32" s="5"/>
      <c r="E32" s="9"/>
      <c r="F32" s="9"/>
      <c r="G32" s="9"/>
      <c r="H32" s="9"/>
      <c r="I32" s="5"/>
    </row>
    <row r="33" customFormat="false" ht="18.75" hidden="false" customHeight="true" outlineLevel="0" collapsed="false">
      <c r="A33" s="9" t="n">
        <v>20</v>
      </c>
      <c r="B33" s="5"/>
      <c r="C33" s="5"/>
      <c r="D33" s="5"/>
      <c r="E33" s="9"/>
      <c r="F33" s="9"/>
      <c r="G33" s="9"/>
      <c r="H33" s="9"/>
      <c r="I33" s="5"/>
    </row>
    <row r="34" customFormat="false" ht="18.75" hidden="false" customHeight="true" outlineLevel="0" collapsed="false">
      <c r="A34" s="9" t="n">
        <v>21</v>
      </c>
      <c r="B34" s="5"/>
      <c r="C34" s="5"/>
      <c r="D34" s="5"/>
      <c r="E34" s="9"/>
      <c r="F34" s="9"/>
      <c r="G34" s="9"/>
      <c r="H34" s="9"/>
      <c r="I34" s="5"/>
    </row>
    <row r="35" customFormat="false" ht="18.75" hidden="false" customHeight="true" outlineLevel="0" collapsed="false">
      <c r="A35" s="9" t="n">
        <v>22</v>
      </c>
      <c r="B35" s="5"/>
      <c r="C35" s="5"/>
      <c r="D35" s="5"/>
      <c r="E35" s="9"/>
      <c r="F35" s="9"/>
      <c r="G35" s="9"/>
      <c r="H35" s="9"/>
      <c r="I35" s="5"/>
    </row>
    <row r="36" customFormat="false" ht="18.75" hidden="false" customHeight="true" outlineLevel="0" collapsed="false">
      <c r="A36" s="9" t="n">
        <v>23</v>
      </c>
      <c r="B36" s="5"/>
      <c r="C36" s="5"/>
      <c r="D36" s="5"/>
      <c r="E36" s="9"/>
      <c r="F36" s="9"/>
      <c r="G36" s="9"/>
      <c r="H36" s="9"/>
      <c r="I36" s="5"/>
    </row>
    <row r="37" customFormat="false" ht="18.75" hidden="false" customHeight="true" outlineLevel="0" collapsed="false">
      <c r="A37" s="9" t="n">
        <v>24</v>
      </c>
      <c r="B37" s="5"/>
      <c r="C37" s="5"/>
      <c r="D37" s="5"/>
      <c r="E37" s="9"/>
      <c r="F37" s="9"/>
      <c r="G37" s="9"/>
      <c r="H37" s="9"/>
      <c r="I37" s="5"/>
    </row>
    <row r="38" customFormat="false" ht="18.75" hidden="false" customHeight="true" outlineLevel="0" collapsed="false">
      <c r="A38" s="9" t="n">
        <v>25</v>
      </c>
      <c r="B38" s="5"/>
      <c r="C38" s="5"/>
      <c r="D38" s="5"/>
      <c r="E38" s="9"/>
      <c r="F38" s="9"/>
      <c r="G38" s="9"/>
      <c r="H38" s="9"/>
      <c r="I38" s="5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0</v>
      </c>
      <c r="F39" s="21"/>
      <c r="G39" s="21"/>
      <c r="H39" s="21"/>
      <c r="I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0</v>
      </c>
      <c r="F40" s="8" t="n">
        <f aca="false">COUNTIF(F14:F38,"√")</f>
        <v>0</v>
      </c>
      <c r="G40" s="8" t="n">
        <f aca="false">COUNTIF(G14:G38,"√")</f>
        <v>0</v>
      </c>
      <c r="H40" s="8" t="n">
        <f aca="false">COUNTIF(H14:H38,"√")</f>
        <v>0</v>
      </c>
      <c r="I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0</v>
      </c>
      <c r="G41" s="8" t="n">
        <f aca="false">COUNTIF(G14:G38,"X")</f>
        <v>0</v>
      </c>
      <c r="H41" s="8" t="n">
        <f aca="false">COUNTIF(H14:H38,"X")</f>
        <v>0</v>
      </c>
      <c r="I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</row>
    <row r="49" customFormat="false" ht="15" hidden="false" customHeight="true" outlineLevel="0" collapsed="false">
      <c r="A49" s="4" t="s">
        <v>628</v>
      </c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A50" s="24" t="s">
        <v>629</v>
      </c>
      <c r="B50" s="24"/>
      <c r="C50" s="24"/>
      <c r="D50" s="24"/>
      <c r="E50" s="24"/>
      <c r="F50" s="24"/>
      <c r="G50" s="24"/>
      <c r="H50" s="24"/>
      <c r="I50" s="24"/>
    </row>
    <row r="51" customFormat="false" ht="15" hidden="false" customHeight="true" outlineLevel="0" collapsed="false">
      <c r="A51" s="24" t="s">
        <v>630</v>
      </c>
      <c r="B51" s="24"/>
      <c r="C51" s="24"/>
      <c r="D51" s="24"/>
      <c r="E51" s="24"/>
      <c r="F51" s="24"/>
      <c r="G51" s="24"/>
      <c r="H51" s="24"/>
      <c r="I51" s="24"/>
    </row>
    <row r="52" customFormat="false" ht="15" hidden="false" customHeight="true" outlineLevel="0" collapsed="false">
      <c r="A52" s="24" t="s">
        <v>631</v>
      </c>
      <c r="B52" s="24"/>
      <c r="C52" s="24"/>
      <c r="D52" s="24"/>
      <c r="E52" s="24"/>
      <c r="F52" s="24"/>
      <c r="G52" s="24"/>
      <c r="H52" s="24"/>
      <c r="I52" s="24"/>
    </row>
    <row r="53" customFormat="false" ht="15" hidden="false" customHeight="true" outlineLevel="0" collapsed="false">
      <c r="A53" s="24" t="s">
        <v>632</v>
      </c>
      <c r="B53" s="24"/>
      <c r="C53" s="24"/>
      <c r="D53" s="24"/>
      <c r="E53" s="24"/>
      <c r="F53" s="24"/>
      <c r="G53" s="24"/>
      <c r="H53" s="24"/>
      <c r="I53" s="24"/>
    </row>
    <row r="55" customFormat="false" ht="15" hidden="false" customHeight="true" outlineLevel="0" collapsed="false">
      <c r="A55" s="18" t="s">
        <v>249</v>
      </c>
      <c r="B55" s="18"/>
      <c r="C55" s="18"/>
      <c r="D55" s="18" t="s">
        <v>250</v>
      </c>
      <c r="E55" s="18"/>
      <c r="F55" s="18"/>
      <c r="G55" s="18" t="s">
        <v>251</v>
      </c>
      <c r="H55" s="18"/>
      <c r="I55" s="18"/>
    </row>
    <row r="56" customFormat="false" ht="21.75" hidden="false" customHeight="true" outlineLevel="0" collapsed="false">
      <c r="A56" s="5" t="s">
        <v>252</v>
      </c>
      <c r="B56" s="5"/>
      <c r="C56" s="5"/>
      <c r="D56" s="5" t="s">
        <v>252</v>
      </c>
      <c r="E56" s="5"/>
      <c r="F56" s="5"/>
      <c r="G56" s="5" t="s">
        <v>252</v>
      </c>
      <c r="H56" s="5"/>
      <c r="I56" s="5"/>
    </row>
    <row r="57" customFormat="false" ht="21.75" hidden="false" customHeight="true" outlineLevel="0" collapsed="false">
      <c r="A57" s="5" t="s">
        <v>253</v>
      </c>
      <c r="B57" s="5"/>
      <c r="C57" s="5"/>
      <c r="D57" s="5" t="s">
        <v>253</v>
      </c>
      <c r="E57" s="5"/>
      <c r="F57" s="5"/>
      <c r="G57" s="5" t="s">
        <v>253</v>
      </c>
      <c r="H57" s="5"/>
      <c r="I57" s="5"/>
    </row>
    <row r="58" customFormat="false" ht="21.75" hidden="false" customHeight="true" outlineLevel="0" collapsed="false">
      <c r="A58" s="5" t="s">
        <v>254</v>
      </c>
      <c r="B58" s="5"/>
      <c r="C58" s="5"/>
      <c r="D58" s="5" t="s">
        <v>254</v>
      </c>
      <c r="E58" s="5"/>
      <c r="F58" s="5"/>
      <c r="G58" s="5" t="s">
        <v>254</v>
      </c>
      <c r="H58" s="5"/>
      <c r="I58" s="5"/>
    </row>
    <row r="59" customFormat="false" ht="25.5" hidden="false" customHeight="true" outlineLevel="0" collapsed="false">
      <c r="A59" s="25" t="s">
        <v>255</v>
      </c>
      <c r="B59" s="25"/>
      <c r="C59" s="25"/>
      <c r="D59" s="25"/>
      <c r="E59" s="25"/>
      <c r="F59" s="25"/>
      <c r="G59" s="25"/>
      <c r="H59" s="25"/>
      <c r="I59" s="25"/>
    </row>
  </sheetData>
  <mergeCells count="53">
    <mergeCell ref="A1:I1"/>
    <mergeCell ref="A2:I2"/>
    <mergeCell ref="A3:B3"/>
    <mergeCell ref="C3:D3"/>
    <mergeCell ref="E3:F3"/>
    <mergeCell ref="G3:H3"/>
    <mergeCell ref="A4:B4"/>
    <mergeCell ref="C4:D4"/>
    <mergeCell ref="E4:F4"/>
    <mergeCell ref="G4:H4"/>
    <mergeCell ref="A5:I5"/>
    <mergeCell ref="A6:C6"/>
    <mergeCell ref="D6:I6"/>
    <mergeCell ref="A7:C7"/>
    <mergeCell ref="E7:F7"/>
    <mergeCell ref="G7:I7"/>
    <mergeCell ref="A8:C8"/>
    <mergeCell ref="E8:F8"/>
    <mergeCell ref="G8:I8"/>
    <mergeCell ref="A9:C9"/>
    <mergeCell ref="E9:F9"/>
    <mergeCell ref="G9:I9"/>
    <mergeCell ref="A10:I10"/>
    <mergeCell ref="A11:A13"/>
    <mergeCell ref="B11:B13"/>
    <mergeCell ref="C11:C13"/>
    <mergeCell ref="D11:D13"/>
    <mergeCell ref="I11:I13"/>
    <mergeCell ref="A39:D39"/>
    <mergeCell ref="E39:I39"/>
    <mergeCell ref="A40:D40"/>
    <mergeCell ref="A41:D41"/>
    <mergeCell ref="A42:D42"/>
    <mergeCell ref="A44:I44"/>
    <mergeCell ref="A45:I47"/>
    <mergeCell ref="A49:I49"/>
    <mergeCell ref="A50:I50"/>
    <mergeCell ref="A51:I51"/>
    <mergeCell ref="A52:I52"/>
    <mergeCell ref="A53:I53"/>
    <mergeCell ref="A55:C55"/>
    <mergeCell ref="D55:F55"/>
    <mergeCell ref="G55:I55"/>
    <mergeCell ref="A56:C56"/>
    <mergeCell ref="D56:F56"/>
    <mergeCell ref="G56:I56"/>
    <mergeCell ref="A57:C57"/>
    <mergeCell ref="D57:F57"/>
    <mergeCell ref="G57:I57"/>
    <mergeCell ref="A58:C58"/>
    <mergeCell ref="D58:F58"/>
    <mergeCell ref="G58:I58"/>
    <mergeCell ref="A59:I59"/>
  </mergeCells>
  <conditionalFormatting sqref="E14:H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H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IFSPL/M/CL/026  |  Rev 00  |  Ref: IFSPL/M/SOP/026&amp;C&amp;8 Indus Fire Safety Private Limited – Control Copy&amp;R&amp;8 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true"/>
  </sheetPr>
  <dimension ref="A1:O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4" min="5" style="0" width="17"/>
    <col collapsed="false" customWidth="true" hidden="false" outlineLevel="0" max="15" min="15" style="0" width="30"/>
  </cols>
  <sheetData>
    <row r="1" customFormat="false" ht="2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3.5" hidden="false" customHeight="true" outlineLevel="0" collapsed="false">
      <c r="A3" s="15" t="s">
        <v>17</v>
      </c>
      <c r="B3" s="15"/>
      <c r="C3" s="15"/>
      <c r="D3" s="15" t="s">
        <v>197</v>
      </c>
      <c r="E3" s="15"/>
      <c r="F3" s="15"/>
      <c r="G3" s="15" t="s">
        <v>5</v>
      </c>
      <c r="H3" s="15"/>
      <c r="I3" s="15"/>
      <c r="J3" s="15" t="s">
        <v>7</v>
      </c>
      <c r="K3" s="15"/>
      <c r="L3" s="15"/>
      <c r="M3" s="15" t="s">
        <v>198</v>
      </c>
      <c r="N3" s="15"/>
      <c r="O3" s="15"/>
    </row>
    <row r="4" customFormat="false" ht="18" hidden="false" customHeight="true" outlineLevel="0" collapsed="false">
      <c r="A4" s="8" t="s">
        <v>24</v>
      </c>
      <c r="B4" s="8"/>
      <c r="C4" s="8"/>
      <c r="D4" s="8" t="s">
        <v>25</v>
      </c>
      <c r="E4" s="8"/>
      <c r="F4" s="8"/>
      <c r="G4" s="8" t="s">
        <v>6</v>
      </c>
      <c r="H4" s="8"/>
      <c r="I4" s="8"/>
      <c r="J4" s="8" t="s">
        <v>199</v>
      </c>
      <c r="K4" s="8"/>
      <c r="L4" s="8"/>
      <c r="M4" s="8" t="s">
        <v>200</v>
      </c>
      <c r="N4" s="8"/>
      <c r="O4" s="8"/>
    </row>
    <row r="5" customFormat="false" ht="24" hidden="false" customHeight="true" outlineLevel="0" collapsed="false">
      <c r="A5" s="3" t="s">
        <v>633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8" hidden="false" customHeight="true" outlineLevel="0" collapsed="false">
      <c r="A6" s="4" t="s">
        <v>202</v>
      </c>
      <c r="B6" s="4"/>
      <c r="C6" s="4"/>
      <c r="D6" s="26" t="s">
        <v>634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customFormat="false" ht="30" hidden="false" customHeight="true" outlineLevel="0" collapsed="false">
      <c r="A7" s="4" t="s">
        <v>203</v>
      </c>
      <c r="B7" s="4"/>
      <c r="C7" s="4"/>
      <c r="D7" s="26" t="s">
        <v>635</v>
      </c>
      <c r="E7" s="26"/>
      <c r="F7" s="26"/>
      <c r="G7" s="26"/>
      <c r="H7" s="26"/>
      <c r="I7" s="4" t="s">
        <v>204</v>
      </c>
      <c r="J7" s="4"/>
      <c r="K7" s="26" t="s">
        <v>205</v>
      </c>
      <c r="L7" s="26"/>
      <c r="M7" s="26"/>
      <c r="N7" s="26"/>
      <c r="O7" s="26"/>
    </row>
    <row r="8" customFormat="false" ht="18" hidden="false" customHeight="true" outlineLevel="0" collapsed="false">
      <c r="A8" s="4" t="s">
        <v>206</v>
      </c>
      <c r="B8" s="4"/>
      <c r="C8" s="4"/>
      <c r="D8" s="26" t="s">
        <v>636</v>
      </c>
      <c r="E8" s="26"/>
      <c r="F8" s="26"/>
      <c r="G8" s="26"/>
      <c r="H8" s="26"/>
      <c r="I8" s="4" t="s">
        <v>207</v>
      </c>
      <c r="J8" s="4"/>
      <c r="K8" s="26" t="s">
        <v>199</v>
      </c>
      <c r="L8" s="26"/>
      <c r="M8" s="26"/>
      <c r="N8" s="26"/>
      <c r="O8" s="26"/>
    </row>
    <row r="9" customFormat="false" ht="18" hidden="false" customHeight="true" outlineLevel="0" collapsed="false">
      <c r="A9" s="4" t="s">
        <v>208</v>
      </c>
      <c r="B9" s="4"/>
      <c r="C9" s="4"/>
      <c r="D9" s="26" t="s">
        <v>637</v>
      </c>
      <c r="E9" s="26"/>
      <c r="F9" s="26"/>
      <c r="G9" s="26"/>
      <c r="H9" s="26"/>
      <c r="I9" s="4" t="s">
        <v>209</v>
      </c>
      <c r="J9" s="4"/>
      <c r="K9" s="26" t="s">
        <v>638</v>
      </c>
      <c r="L9" s="26"/>
      <c r="M9" s="26"/>
      <c r="N9" s="26"/>
      <c r="O9" s="26"/>
    </row>
    <row r="10" customFormat="false" ht="25.5" hidden="false" customHeight="true" outlineLevel="0" collapsed="false">
      <c r="A10" s="17" t="s">
        <v>210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customFormat="false" ht="15.75" hidden="false" customHeight="true" outlineLevel="0" collapsed="false">
      <c r="A11" s="18" t="s">
        <v>211</v>
      </c>
      <c r="B11" s="18" t="s">
        <v>212</v>
      </c>
      <c r="C11" s="18" t="s">
        <v>213</v>
      </c>
      <c r="D11" s="18" t="s">
        <v>214</v>
      </c>
      <c r="E11" s="7" t="s">
        <v>215</v>
      </c>
      <c r="F11" s="7" t="s">
        <v>216</v>
      </c>
      <c r="G11" s="7" t="s">
        <v>217</v>
      </c>
      <c r="H11" s="7" t="s">
        <v>218</v>
      </c>
      <c r="I11" s="7" t="s">
        <v>219</v>
      </c>
      <c r="J11" s="7" t="s">
        <v>220</v>
      </c>
      <c r="K11" s="7" t="s">
        <v>221</v>
      </c>
      <c r="L11" s="7" t="s">
        <v>222</v>
      </c>
      <c r="M11" s="7" t="s">
        <v>223</v>
      </c>
      <c r="N11" s="7" t="s">
        <v>224</v>
      </c>
      <c r="O11" s="18" t="s">
        <v>225</v>
      </c>
    </row>
    <row r="12" customFormat="false" ht="66" hidden="false" customHeight="true" outlineLevel="0" collapsed="false">
      <c r="A12" s="18"/>
      <c r="B12" s="18"/>
      <c r="C12" s="18"/>
      <c r="D12" s="18"/>
      <c r="E12" s="19" t="s">
        <v>226</v>
      </c>
      <c r="F12" s="19" t="s">
        <v>227</v>
      </c>
      <c r="G12" s="19" t="s">
        <v>228</v>
      </c>
      <c r="H12" s="19" t="s">
        <v>229</v>
      </c>
      <c r="I12" s="19" t="s">
        <v>230</v>
      </c>
      <c r="J12" s="19" t="s">
        <v>231</v>
      </c>
      <c r="K12" s="19" t="s">
        <v>232</v>
      </c>
      <c r="L12" s="19" t="s">
        <v>233</v>
      </c>
      <c r="M12" s="19" t="s">
        <v>234</v>
      </c>
      <c r="N12" s="19" t="s">
        <v>235</v>
      </c>
      <c r="O12" s="18"/>
    </row>
    <row r="13" customFormat="false" ht="27.75" hidden="false" customHeight="true" outlineLevel="0" collapsed="false">
      <c r="A13" s="18"/>
      <c r="B13" s="18"/>
      <c r="C13" s="18"/>
      <c r="D13" s="18"/>
      <c r="E13" s="20" t="s">
        <v>236</v>
      </c>
      <c r="F13" s="20" t="s">
        <v>236</v>
      </c>
      <c r="G13" s="20" t="s">
        <v>236</v>
      </c>
      <c r="H13" s="20" t="s">
        <v>236</v>
      </c>
      <c r="I13" s="20" t="s">
        <v>237</v>
      </c>
      <c r="J13" s="20" t="s">
        <v>237</v>
      </c>
      <c r="K13" s="20" t="s">
        <v>237</v>
      </c>
      <c r="L13" s="20" t="s">
        <v>236</v>
      </c>
      <c r="M13" s="20" t="s">
        <v>238</v>
      </c>
      <c r="N13" s="20" t="s">
        <v>236</v>
      </c>
      <c r="O13" s="18"/>
    </row>
    <row r="14" customFormat="false" ht="18.75" hidden="false" customHeight="true" outlineLevel="0" collapsed="false">
      <c r="A14" s="9" t="n">
        <v>1</v>
      </c>
      <c r="B14" s="27" t="s">
        <v>639</v>
      </c>
      <c r="C14" s="27" t="s">
        <v>640</v>
      </c>
      <c r="D14" s="27" t="s">
        <v>641</v>
      </c>
      <c r="E14" s="28" t="s">
        <v>642</v>
      </c>
      <c r="F14" s="28" t="s">
        <v>642</v>
      </c>
      <c r="G14" s="28" t="s">
        <v>642</v>
      </c>
      <c r="H14" s="28" t="s">
        <v>642</v>
      </c>
      <c r="I14" s="28" t="s">
        <v>642</v>
      </c>
      <c r="J14" s="28" t="s">
        <v>642</v>
      </c>
      <c r="K14" s="28" t="s">
        <v>642</v>
      </c>
      <c r="L14" s="28" t="s">
        <v>642</v>
      </c>
      <c r="M14" s="28" t="s">
        <v>642</v>
      </c>
      <c r="N14" s="28" t="s">
        <v>642</v>
      </c>
      <c r="O14" s="27"/>
    </row>
    <row r="15" customFormat="false" ht="18.75" hidden="false" customHeight="true" outlineLevel="0" collapsed="false">
      <c r="A15" s="9" t="n">
        <v>2</v>
      </c>
      <c r="B15" s="27" t="s">
        <v>639</v>
      </c>
      <c r="C15" s="27" t="s">
        <v>643</v>
      </c>
      <c r="D15" s="27" t="s">
        <v>644</v>
      </c>
      <c r="E15" s="28" t="s">
        <v>642</v>
      </c>
      <c r="F15" s="28" t="s">
        <v>642</v>
      </c>
      <c r="G15" s="28" t="s">
        <v>642</v>
      </c>
      <c r="H15" s="28" t="s">
        <v>642</v>
      </c>
      <c r="I15" s="28" t="s">
        <v>642</v>
      </c>
      <c r="J15" s="28" t="s">
        <v>642</v>
      </c>
      <c r="K15" s="28" t="s">
        <v>642</v>
      </c>
      <c r="L15" s="28" t="s">
        <v>642</v>
      </c>
      <c r="M15" s="28" t="s">
        <v>642</v>
      </c>
      <c r="N15" s="28" t="s">
        <v>645</v>
      </c>
      <c r="O15" s="27"/>
    </row>
    <row r="16" customFormat="false" ht="30" hidden="false" customHeight="true" outlineLevel="0" collapsed="false">
      <c r="A16" s="9" t="n">
        <v>3</v>
      </c>
      <c r="B16" s="27" t="s">
        <v>646</v>
      </c>
      <c r="C16" s="27" t="s">
        <v>647</v>
      </c>
      <c r="D16" s="27" t="s">
        <v>648</v>
      </c>
      <c r="E16" s="28" t="s">
        <v>642</v>
      </c>
      <c r="F16" s="28" t="s">
        <v>649</v>
      </c>
      <c r="G16" s="28" t="s">
        <v>642</v>
      </c>
      <c r="H16" s="28" t="s">
        <v>642</v>
      </c>
      <c r="I16" s="28" t="s">
        <v>642</v>
      </c>
      <c r="J16" s="28" t="s">
        <v>642</v>
      </c>
      <c r="K16" s="28" t="s">
        <v>642</v>
      </c>
      <c r="L16" s="28" t="s">
        <v>642</v>
      </c>
      <c r="M16" s="28" t="s">
        <v>642</v>
      </c>
      <c r="N16" s="28" t="s">
        <v>642</v>
      </c>
      <c r="O16" s="27" t="s">
        <v>650</v>
      </c>
    </row>
    <row r="17" customFormat="false" ht="18.75" hidden="false" customHeight="true" outlineLevel="0" collapsed="false">
      <c r="A17" s="9" t="n">
        <v>4</v>
      </c>
      <c r="B17" s="27"/>
      <c r="C17" s="27"/>
      <c r="D17" s="27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7"/>
    </row>
    <row r="18" customFormat="false" ht="18.75" hidden="false" customHeight="true" outlineLevel="0" collapsed="false">
      <c r="A18" s="9" t="n">
        <v>5</v>
      </c>
      <c r="B18" s="27"/>
      <c r="C18" s="27"/>
      <c r="D18" s="27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7"/>
    </row>
    <row r="19" customFormat="false" ht="18.75" hidden="false" customHeight="true" outlineLevel="0" collapsed="false">
      <c r="A19" s="9" t="n">
        <v>6</v>
      </c>
      <c r="B19" s="27"/>
      <c r="C19" s="27"/>
      <c r="D19" s="27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7"/>
    </row>
    <row r="20" customFormat="false" ht="18.75" hidden="false" customHeight="true" outlineLevel="0" collapsed="false">
      <c r="A20" s="9" t="n">
        <v>7</v>
      </c>
      <c r="B20" s="27"/>
      <c r="C20" s="27"/>
      <c r="D20" s="27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7"/>
    </row>
    <row r="21" customFormat="false" ht="18.75" hidden="false" customHeight="true" outlineLevel="0" collapsed="false">
      <c r="A21" s="9" t="n">
        <v>8</v>
      </c>
      <c r="B21" s="27"/>
      <c r="C21" s="27"/>
      <c r="D21" s="27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7"/>
    </row>
    <row r="22" customFormat="false" ht="18.75" hidden="false" customHeight="true" outlineLevel="0" collapsed="false">
      <c r="A22" s="9" t="n">
        <v>9</v>
      </c>
      <c r="B22" s="27"/>
      <c r="C22" s="27"/>
      <c r="D22" s="27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7"/>
    </row>
    <row r="23" customFormat="false" ht="18.75" hidden="false" customHeight="true" outlineLevel="0" collapsed="false">
      <c r="A23" s="9" t="n">
        <v>10</v>
      </c>
      <c r="B23" s="27"/>
      <c r="C23" s="27"/>
      <c r="D23" s="27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7"/>
    </row>
    <row r="24" customFormat="false" ht="18.75" hidden="false" customHeight="true" outlineLevel="0" collapsed="false">
      <c r="A24" s="9" t="n">
        <v>11</v>
      </c>
      <c r="B24" s="27"/>
      <c r="C24" s="27"/>
      <c r="D24" s="27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7"/>
    </row>
    <row r="25" customFormat="false" ht="18.75" hidden="false" customHeight="true" outlineLevel="0" collapsed="false">
      <c r="A25" s="9" t="n">
        <v>12</v>
      </c>
      <c r="B25" s="27"/>
      <c r="C25" s="27"/>
      <c r="D25" s="27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7"/>
    </row>
    <row r="26" customFormat="false" ht="18.75" hidden="false" customHeight="true" outlineLevel="0" collapsed="false">
      <c r="A26" s="9" t="n">
        <v>13</v>
      </c>
      <c r="B26" s="27"/>
      <c r="C26" s="27"/>
      <c r="D26" s="27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7"/>
    </row>
    <row r="27" customFormat="false" ht="18.75" hidden="false" customHeight="true" outlineLevel="0" collapsed="false">
      <c r="A27" s="9" t="n">
        <v>14</v>
      </c>
      <c r="B27" s="27"/>
      <c r="C27" s="27"/>
      <c r="D27" s="27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7"/>
    </row>
    <row r="28" customFormat="false" ht="18.75" hidden="false" customHeight="true" outlineLevel="0" collapsed="false">
      <c r="A28" s="9" t="n">
        <v>15</v>
      </c>
      <c r="B28" s="27"/>
      <c r="C28" s="27"/>
      <c r="D28" s="27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7"/>
    </row>
    <row r="29" customFormat="false" ht="18.75" hidden="false" customHeight="true" outlineLevel="0" collapsed="false">
      <c r="A29" s="9" t="n">
        <v>16</v>
      </c>
      <c r="B29" s="27"/>
      <c r="C29" s="27"/>
      <c r="D29" s="2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7"/>
    </row>
    <row r="30" customFormat="false" ht="18.75" hidden="false" customHeight="true" outlineLevel="0" collapsed="false">
      <c r="A30" s="9" t="n">
        <v>17</v>
      </c>
      <c r="B30" s="27"/>
      <c r="C30" s="27"/>
      <c r="D30" s="27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7"/>
    </row>
    <row r="31" customFormat="false" ht="18.75" hidden="false" customHeight="true" outlineLevel="0" collapsed="false">
      <c r="A31" s="9" t="n">
        <v>18</v>
      </c>
      <c r="B31" s="27"/>
      <c r="C31" s="27"/>
      <c r="D31" s="27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7"/>
    </row>
    <row r="32" customFormat="false" ht="18.75" hidden="false" customHeight="true" outlineLevel="0" collapsed="false">
      <c r="A32" s="9" t="n">
        <v>19</v>
      </c>
      <c r="B32" s="27"/>
      <c r="C32" s="27"/>
      <c r="D32" s="27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7"/>
    </row>
    <row r="33" customFormat="false" ht="18.75" hidden="false" customHeight="true" outlineLevel="0" collapsed="false">
      <c r="A33" s="9" t="n">
        <v>20</v>
      </c>
      <c r="B33" s="27"/>
      <c r="C33" s="27"/>
      <c r="D33" s="27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7"/>
    </row>
    <row r="34" customFormat="false" ht="18.75" hidden="false" customHeight="true" outlineLevel="0" collapsed="false">
      <c r="A34" s="9" t="n">
        <v>21</v>
      </c>
      <c r="B34" s="27"/>
      <c r="C34" s="27"/>
      <c r="D34" s="27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7"/>
    </row>
    <row r="35" customFormat="false" ht="18.75" hidden="false" customHeight="true" outlineLevel="0" collapsed="false">
      <c r="A35" s="9" t="n">
        <v>22</v>
      </c>
      <c r="B35" s="27"/>
      <c r="C35" s="27"/>
      <c r="D35" s="27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7"/>
    </row>
    <row r="36" customFormat="false" ht="18.75" hidden="false" customHeight="true" outlineLevel="0" collapsed="false">
      <c r="A36" s="9" t="n">
        <v>23</v>
      </c>
      <c r="B36" s="27"/>
      <c r="C36" s="27"/>
      <c r="D36" s="27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7"/>
    </row>
    <row r="37" customFormat="false" ht="18.75" hidden="false" customHeight="true" outlineLevel="0" collapsed="false">
      <c r="A37" s="9" t="n">
        <v>24</v>
      </c>
      <c r="B37" s="27"/>
      <c r="C37" s="27"/>
      <c r="D37" s="27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7"/>
    </row>
    <row r="38" customFormat="false" ht="18.75" hidden="false" customHeight="true" outlineLevel="0" collapsed="false">
      <c r="A38" s="9" t="n">
        <v>25</v>
      </c>
      <c r="B38" s="27"/>
      <c r="C38" s="27"/>
      <c r="D38" s="27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7"/>
    </row>
    <row r="39" customFormat="false" ht="15" hidden="false" customHeight="true" outlineLevel="0" collapsed="false">
      <c r="A39" s="4" t="s">
        <v>239</v>
      </c>
      <c r="B39" s="4"/>
      <c r="C39" s="4"/>
      <c r="D39" s="4"/>
      <c r="E39" s="21" t="n">
        <f aca="false">COUNTA(C14:C38)</f>
        <v>3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customFormat="false" ht="15" hidden="false" customHeight="true" outlineLevel="0" collapsed="false">
      <c r="A40" s="4" t="s">
        <v>240</v>
      </c>
      <c r="B40" s="4"/>
      <c r="C40" s="4"/>
      <c r="D40" s="4"/>
      <c r="E40" s="8" t="n">
        <f aca="false">COUNTIF(E14:E38,"√")</f>
        <v>3</v>
      </c>
      <c r="F40" s="8" t="n">
        <f aca="false">COUNTIF(F14:F38,"√")</f>
        <v>2</v>
      </c>
      <c r="G40" s="8" t="n">
        <f aca="false">COUNTIF(G14:G38,"√")</f>
        <v>3</v>
      </c>
      <c r="H40" s="8" t="n">
        <f aca="false">COUNTIF(H14:H38,"√")</f>
        <v>3</v>
      </c>
      <c r="I40" s="8" t="n">
        <f aca="false">COUNTIF(I14:I38,"√")</f>
        <v>3</v>
      </c>
      <c r="J40" s="8" t="n">
        <f aca="false">COUNTIF(J14:J38,"√")</f>
        <v>3</v>
      </c>
      <c r="K40" s="8" t="n">
        <f aca="false">COUNTIF(K14:K38,"√")</f>
        <v>3</v>
      </c>
      <c r="L40" s="8" t="n">
        <f aca="false">COUNTIF(L14:L38,"√")</f>
        <v>3</v>
      </c>
      <c r="M40" s="8" t="n">
        <f aca="false">COUNTIF(M14:M38,"√")</f>
        <v>3</v>
      </c>
      <c r="N40" s="8" t="n">
        <f aca="false">COUNTIF(N14:N38,"√")</f>
        <v>2</v>
      </c>
      <c r="O40" s="22"/>
    </row>
    <row r="41" customFormat="false" ht="15" hidden="false" customHeight="true" outlineLevel="0" collapsed="false">
      <c r="A41" s="4" t="s">
        <v>241</v>
      </c>
      <c r="B41" s="4"/>
      <c r="C41" s="4"/>
      <c r="D41" s="4"/>
      <c r="E41" s="8" t="n">
        <f aca="false">COUNTIF(E14:E38,"X")</f>
        <v>0</v>
      </c>
      <c r="F41" s="8" t="n">
        <f aca="false">COUNTIF(F14:F38,"X")</f>
        <v>1</v>
      </c>
      <c r="G41" s="8" t="n">
        <f aca="false">COUNTIF(G14:G38,"X")</f>
        <v>0</v>
      </c>
      <c r="H41" s="8" t="n">
        <f aca="false">COUNTIF(H14:H38,"X")</f>
        <v>0</v>
      </c>
      <c r="I41" s="8" t="n">
        <f aca="false">COUNTIF(I14:I38,"X")</f>
        <v>0</v>
      </c>
      <c r="J41" s="8" t="n">
        <f aca="false">COUNTIF(J14:J38,"X")</f>
        <v>0</v>
      </c>
      <c r="K41" s="8" t="n">
        <f aca="false">COUNTIF(K14:K38,"X")</f>
        <v>0</v>
      </c>
      <c r="L41" s="8" t="n">
        <f aca="false">COUNTIF(L14:L38,"X")</f>
        <v>0</v>
      </c>
      <c r="M41" s="8" t="n">
        <f aca="false">COUNTIF(M14:M38,"X")</f>
        <v>0</v>
      </c>
      <c r="N41" s="8" t="n">
        <f aca="false">COUNTIF(N14:N38,"X")</f>
        <v>0</v>
      </c>
      <c r="O41" s="22"/>
    </row>
    <row r="42" customFormat="false" ht="15" hidden="false" customHeight="true" outlineLevel="0" collapsed="false">
      <c r="A42" s="4" t="s">
        <v>242</v>
      </c>
      <c r="B42" s="4"/>
      <c r="C42" s="4"/>
      <c r="D42" s="4"/>
      <c r="E42" s="8" t="n">
        <f aca="false">COUNTIF(E14:E38,"NA")</f>
        <v>0</v>
      </c>
      <c r="F42" s="8" t="n">
        <f aca="false">COUNTIF(F14:F38,"NA")</f>
        <v>0</v>
      </c>
      <c r="G42" s="8" t="n">
        <f aca="false">COUNTIF(G14:G38,"NA")</f>
        <v>0</v>
      </c>
      <c r="H42" s="8" t="n">
        <f aca="false">COUNTIF(H14:H38,"NA")</f>
        <v>0</v>
      </c>
      <c r="I42" s="8" t="n">
        <f aca="false">COUNTIF(I14:I38,"NA")</f>
        <v>0</v>
      </c>
      <c r="J42" s="8" t="n">
        <f aca="false">COUNTIF(J14:J38,"NA")</f>
        <v>0</v>
      </c>
      <c r="K42" s="8" t="n">
        <f aca="false">COUNTIF(K14:K38,"NA")</f>
        <v>0</v>
      </c>
      <c r="L42" s="8" t="n">
        <f aca="false">COUNTIF(L14:L38,"NA")</f>
        <v>0</v>
      </c>
      <c r="M42" s="8" t="n">
        <f aca="false">COUNTIF(M14:M38,"NA")</f>
        <v>0</v>
      </c>
      <c r="N42" s="8" t="n">
        <f aca="false">COUNTIF(N14:N38,"NA")</f>
        <v>1</v>
      </c>
      <c r="O42" s="22"/>
    </row>
    <row r="44" customFormat="false" ht="15" hidden="false" customHeight="true" outlineLevel="0" collapsed="false">
      <c r="A44" s="4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</row>
    <row r="49" customFormat="false" ht="15" hidden="false" customHeight="true" outlineLevel="0" collapsed="false">
      <c r="A49" s="4" t="s">
        <v>244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customFormat="false" ht="15" hidden="false" customHeight="true" outlineLevel="0" collapsed="false">
      <c r="A50" s="24" t="s">
        <v>245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customFormat="false" ht="15" hidden="false" customHeight="true" outlineLevel="0" collapsed="false">
      <c r="A51" s="24" t="s">
        <v>246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customFormat="false" ht="15" hidden="false" customHeight="true" outlineLevel="0" collapsed="false">
      <c r="A52" s="24" t="s">
        <v>247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customFormat="false" ht="15" hidden="false" customHeight="true" outlineLevel="0" collapsed="false">
      <c r="A53" s="24" t="s">
        <v>248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5" customFormat="false" ht="15" hidden="false" customHeight="true" outlineLevel="0" collapsed="false">
      <c r="A55" s="18" t="s">
        <v>249</v>
      </c>
      <c r="B55" s="18"/>
      <c r="C55" s="18"/>
      <c r="D55" s="18"/>
      <c r="E55" s="18"/>
      <c r="F55" s="18" t="s">
        <v>250</v>
      </c>
      <c r="G55" s="18"/>
      <c r="H55" s="18"/>
      <c r="I55" s="18"/>
      <c r="J55" s="18"/>
      <c r="K55" s="18" t="s">
        <v>251</v>
      </c>
      <c r="L55" s="18"/>
      <c r="M55" s="18"/>
      <c r="N55" s="18"/>
      <c r="O55" s="18"/>
    </row>
    <row r="56" customFormat="false" ht="21.75" hidden="false" customHeight="true" outlineLevel="0" collapsed="false">
      <c r="A56" s="5" t="s">
        <v>252</v>
      </c>
      <c r="B56" s="5"/>
      <c r="C56" s="5"/>
      <c r="D56" s="5"/>
      <c r="E56" s="5"/>
      <c r="F56" s="5" t="s">
        <v>252</v>
      </c>
      <c r="G56" s="5"/>
      <c r="H56" s="5"/>
      <c r="I56" s="5"/>
      <c r="J56" s="5"/>
      <c r="K56" s="5" t="s">
        <v>252</v>
      </c>
      <c r="L56" s="5"/>
      <c r="M56" s="5"/>
      <c r="N56" s="5"/>
      <c r="O56" s="5"/>
    </row>
    <row r="57" customFormat="false" ht="21.75" hidden="false" customHeight="true" outlineLevel="0" collapsed="false">
      <c r="A57" s="5" t="s">
        <v>253</v>
      </c>
      <c r="B57" s="5"/>
      <c r="C57" s="5"/>
      <c r="D57" s="5"/>
      <c r="E57" s="5"/>
      <c r="F57" s="5" t="s">
        <v>253</v>
      </c>
      <c r="G57" s="5"/>
      <c r="H57" s="5"/>
      <c r="I57" s="5"/>
      <c r="J57" s="5"/>
      <c r="K57" s="5" t="s">
        <v>253</v>
      </c>
      <c r="L57" s="5"/>
      <c r="M57" s="5"/>
      <c r="N57" s="5"/>
      <c r="O57" s="5"/>
    </row>
    <row r="58" customFormat="false" ht="21.75" hidden="false" customHeight="true" outlineLevel="0" collapsed="false">
      <c r="A58" s="5" t="s">
        <v>254</v>
      </c>
      <c r="B58" s="5"/>
      <c r="C58" s="5"/>
      <c r="D58" s="5"/>
      <c r="E58" s="5"/>
      <c r="F58" s="5" t="s">
        <v>254</v>
      </c>
      <c r="G58" s="5"/>
      <c r="H58" s="5"/>
      <c r="I58" s="5"/>
      <c r="J58" s="5"/>
      <c r="K58" s="5" t="s">
        <v>254</v>
      </c>
      <c r="L58" s="5"/>
      <c r="M58" s="5"/>
      <c r="N58" s="5"/>
      <c r="O58" s="5"/>
    </row>
    <row r="59" customFormat="false" ht="25.5" hidden="false" customHeight="true" outlineLevel="0" collapsed="false">
      <c r="A59" s="25" t="s">
        <v>255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</sheetData>
  <mergeCells count="58">
    <mergeCell ref="A1:O1"/>
    <mergeCell ref="A2:O2"/>
    <mergeCell ref="A3:C3"/>
    <mergeCell ref="D3:F3"/>
    <mergeCell ref="G3:I3"/>
    <mergeCell ref="J3:L3"/>
    <mergeCell ref="M3:O3"/>
    <mergeCell ref="A4:C4"/>
    <mergeCell ref="D4:F4"/>
    <mergeCell ref="G4:I4"/>
    <mergeCell ref="J4:L4"/>
    <mergeCell ref="M4:O4"/>
    <mergeCell ref="A5:O5"/>
    <mergeCell ref="A6:C6"/>
    <mergeCell ref="D6:O6"/>
    <mergeCell ref="A7:C7"/>
    <mergeCell ref="D7:H7"/>
    <mergeCell ref="I7:J7"/>
    <mergeCell ref="K7:O7"/>
    <mergeCell ref="A8:C8"/>
    <mergeCell ref="D8:H8"/>
    <mergeCell ref="I8:J8"/>
    <mergeCell ref="K8:O8"/>
    <mergeCell ref="A9:C9"/>
    <mergeCell ref="D9:H9"/>
    <mergeCell ref="I9:J9"/>
    <mergeCell ref="K9:O9"/>
    <mergeCell ref="A10:O10"/>
    <mergeCell ref="A11:A13"/>
    <mergeCell ref="B11:B13"/>
    <mergeCell ref="C11:C13"/>
    <mergeCell ref="D11:D13"/>
    <mergeCell ref="O11:O13"/>
    <mergeCell ref="A39:D39"/>
    <mergeCell ref="E39:O39"/>
    <mergeCell ref="A40:D40"/>
    <mergeCell ref="A41:D41"/>
    <mergeCell ref="A42:D42"/>
    <mergeCell ref="A44:O44"/>
    <mergeCell ref="A45:O47"/>
    <mergeCell ref="A49:O49"/>
    <mergeCell ref="A50:O50"/>
    <mergeCell ref="A51:O51"/>
    <mergeCell ref="A52:O52"/>
    <mergeCell ref="A53:O53"/>
    <mergeCell ref="A55:E55"/>
    <mergeCell ref="F55:J55"/>
    <mergeCell ref="K55:O55"/>
    <mergeCell ref="A56:E56"/>
    <mergeCell ref="F56:J56"/>
    <mergeCell ref="K56:O56"/>
    <mergeCell ref="A57:E57"/>
    <mergeCell ref="F57:J57"/>
    <mergeCell ref="K57:O57"/>
    <mergeCell ref="A58:E58"/>
    <mergeCell ref="F58:J58"/>
    <mergeCell ref="K58:O58"/>
    <mergeCell ref="A59:O59"/>
  </mergeCells>
  <conditionalFormatting sqref="E14:N38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1">
      <formula>"NA"</formula>
    </cfRule>
    <cfRule type="cellIs" priority="4" operator="equal" aboveAverage="0" equalAverage="0" bottom="0" percent="0" rank="0" text="" dxfId="2">
      <formula>"√"</formula>
    </cfRule>
  </conditionalFormatting>
  <dataValidations count="2">
    <dataValidation allowBlank="true" errorStyle="stop" operator="between" showDropDown="false" showErrorMessage="false" showInputMessage="false" sqref="D9" type="list">
      <formula1>"Monthly,Quarterly,Half-yearly,Annual,Each servicing,As per instruction"</formula1>
      <formula2>0</formula2>
    </dataValidation>
    <dataValidation allowBlank="true" error="Use √ (OK / Pass), X (NOT OK / Fail) or NA." errorStyle="stop" errorTitle="Invalid entry" operator="between" showDropDown="false" showErrorMessage="true" showInputMessage="false" sqref="E14:N38" type="list">
      <formula1>"√,X,NA"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IFSPL/M/CL/001  |  Rev 00  |  Ref: IFSPL/M/SOP/001&amp;C&amp;8 Indus Fire Safety Private Limited – Control Copy&amp;R&amp;8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2026-10-21T08:13:10Z</dcterms:created>
  <dc:creator>openpyxl</dc:creator>
  <dc:description/>
  <dc:language>en-US</dc:language>
  <cp:lastModifiedBy/>
  <dcterms:modified xsi:type="dcterms:W3CDTF">2026-10-21T08:13:12Z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